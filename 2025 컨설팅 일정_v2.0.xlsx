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월" sheetId="1" r:id="rId5"/>
    <sheet state="visible" name="11월" sheetId="2" r:id="rId6"/>
    <sheet state="visible" name="10월" sheetId="3" r:id="rId7"/>
    <sheet state="visible" name="9월" sheetId="4" r:id="rId8"/>
    <sheet state="visible" name="8월" sheetId="5" r:id="rId9"/>
    <sheet state="visible" name="7월" sheetId="6" r:id="rId10"/>
    <sheet state="visible" name="6월" sheetId="7" r:id="rId11"/>
    <sheet state="visible" name="5월" sheetId="8" r:id="rId12"/>
    <sheet state="visible" name="4월" sheetId="9" r:id="rId13"/>
    <sheet state="visible" name="3월" sheetId="10" r:id="rId14"/>
    <sheet state="visible" name="2026-1월" sheetId="11" r:id="rId15"/>
    <sheet state="visible" name="2026-2월" sheetId="12" r:id="rId16"/>
    <sheet state="visible" name="요약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1">
      <text>
        <t xml:space="preserve">10:30 -&gt; 20:30 으로 변경하여 진행예정
(컨설턴트 개인사정)</t>
      </text>
    </comment>
    <comment authorId="0" ref="C92">
      <text>
        <t xml:space="preserve">11:30 -&gt; 21:30 으로 변경하여 진행예정
(컨설턴트 개인사정)</t>
      </text>
    </comment>
    <comment authorId="0" ref="B111">
      <text>
        <t xml:space="preserve">공기업에서 일반으로 변경</t>
      </text>
    </comment>
    <comment authorId="0" ref="C118">
      <text>
        <t xml:space="preserve">5/29 11:30에서 5/28 11:30으로 변경</t>
      </text>
    </comment>
    <comment authorId="0" ref="E120">
      <text>
        <t xml:space="preserve">
5/29 10:30에서 5/30 15:00으로 변경</t>
      </text>
    </comment>
  </commentList>
</comments>
</file>

<file path=xl/sharedStrings.xml><?xml version="1.0" encoding="utf-8"?>
<sst xmlns="http://schemas.openxmlformats.org/spreadsheetml/2006/main" count="1821" uniqueCount="748">
  <si>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</si>
  <si>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</si>
  <si>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</si>
  <si>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</si>
  <si>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</si>
  <si>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t>토요일</t>
  </si>
  <si>
    <t>진로개발</t>
  </si>
  <si>
    <t>강 진</t>
  </si>
  <si>
    <t>10:00 이공계(정지선)</t>
  </si>
  <si>
    <r>
      <rPr>
        <rFont val="Arial"/>
        <color rgb="FF000000"/>
      </rPr>
      <t xml:space="preserve">10:00 </t>
    </r>
    <r>
      <rPr>
        <rFont val="Calibri"/>
        <color rgb="FF000000"/>
      </rPr>
      <t>진로개발</t>
    </r>
    <r>
      <rPr>
        <rFont val="Arial"/>
        <color rgb="FF000000"/>
      </rPr>
      <t>(</t>
    </r>
    <r>
      <rPr>
        <rFont val="Calibri"/>
        <color rgb="FF000000"/>
      </rPr>
      <t>신민이</t>
    </r>
    <r>
      <rPr>
        <rFont val="Arial"/>
        <color rgb="FF000000"/>
      </rPr>
      <t>)</t>
    </r>
  </si>
  <si>
    <t>10:00 서류면접 (한 나)</t>
  </si>
  <si>
    <t>10:00 공기업 (김선화)</t>
  </si>
  <si>
    <t>10:30 서류면접 (이희영)</t>
  </si>
  <si>
    <t>서류면접</t>
  </si>
  <si>
    <t>김나영</t>
  </si>
  <si>
    <t>11:00 이공계(정지선)</t>
  </si>
  <si>
    <r>
      <rPr>
        <rFont val="Arial"/>
        <color rgb="FF000000"/>
      </rPr>
      <t xml:space="preserve">11:00 </t>
    </r>
    <r>
      <rPr>
        <rFont val="Calibri"/>
        <color rgb="FF000000"/>
      </rPr>
      <t>진로개발</t>
    </r>
    <r>
      <rPr>
        <rFont val="Arial"/>
        <color rgb="FF000000"/>
      </rPr>
      <t>(</t>
    </r>
    <r>
      <rPr>
        <rFont val="Calibri"/>
        <color rgb="FF000000"/>
      </rPr>
      <t>신민이</t>
    </r>
    <r>
      <rPr>
        <rFont val="Arial"/>
        <color rgb="FF000000"/>
      </rPr>
      <t>)</t>
    </r>
  </si>
  <si>
    <t>11:00 서류면접 (한 나)</t>
  </si>
  <si>
    <t>11:00 서류면접 (김선화)</t>
  </si>
  <si>
    <t>11:30 서류면접 (이희영)</t>
  </si>
  <si>
    <t>공기업</t>
  </si>
  <si>
    <t>김미령</t>
  </si>
  <si>
    <t>외국계</t>
  </si>
  <si>
    <t>김민경</t>
  </si>
  <si>
    <r>
      <rPr>
        <rFont val="Arial"/>
        <color rgb="FFFF00FF"/>
      </rPr>
      <t>10:30</t>
    </r>
    <r>
      <rPr>
        <rFont val="Arial"/>
        <color rgb="FF9900FF"/>
      </rPr>
      <t xml:space="preserve"> 서류면접</t>
    </r>
    <r>
      <rPr>
        <rFont val="Arial"/>
        <color rgb="FFFF00FF"/>
      </rPr>
      <t>(김지현)</t>
    </r>
  </si>
  <si>
    <t>이공계</t>
  </si>
  <si>
    <t>김선화</t>
  </si>
  <si>
    <r>
      <rPr>
        <rFont val="Arial"/>
        <color rgb="FFFF00FF"/>
      </rPr>
      <t xml:space="preserve">11:30 </t>
    </r>
    <r>
      <rPr>
        <rFont val="Arial"/>
        <color rgb="FF9900FF"/>
      </rPr>
      <t>서류면접</t>
    </r>
    <r>
      <rPr>
        <rFont val="Arial"/>
        <color rgb="FFFF00FF"/>
      </rPr>
      <t>(김지현)</t>
    </r>
  </si>
  <si>
    <t>10:00 공기업 (심영섭)</t>
  </si>
  <si>
    <t>콘텐츠</t>
  </si>
  <si>
    <t>김세희</t>
  </si>
  <si>
    <t>11:00 서류면접 (심영섭)</t>
  </si>
  <si>
    <t>10:00 서류면접(장신혜)</t>
  </si>
  <si>
    <t>금융</t>
  </si>
  <si>
    <t>김지현</t>
  </si>
  <si>
    <t>11:00 진로개발 (범하나)</t>
  </si>
  <si>
    <t>11:00 서류면접(장신혜)</t>
  </si>
  <si>
    <t>IT</t>
  </si>
  <si>
    <t>범하나</t>
  </si>
  <si>
    <t>12:00 진로개발 (범하나)</t>
  </si>
  <si>
    <t>임원면접</t>
  </si>
  <si>
    <t>성지우</t>
  </si>
  <si>
    <r>
      <rPr>
        <rFont val="Arial"/>
        <color rgb="FFFF00FF"/>
      </rPr>
      <t xml:space="preserve">10:30 </t>
    </r>
    <r>
      <rPr>
        <rFont val="Calibri"/>
        <color rgb="FFFF00FF"/>
      </rPr>
      <t>서류면접</t>
    </r>
    <r>
      <rPr>
        <rFont val="Arial"/>
        <color rgb="FFFF00FF"/>
      </rPr>
      <t xml:space="preserve"> (</t>
    </r>
    <r>
      <rPr>
        <rFont val="Calibri"/>
        <color rgb="FFFF00FF"/>
      </rPr>
      <t>김민경</t>
    </r>
    <r>
      <rPr>
        <rFont val="Arial"/>
        <color rgb="FFFF00FF"/>
      </rPr>
      <t>)</t>
    </r>
  </si>
  <si>
    <t>11:00 진로개발(김나영)</t>
  </si>
  <si>
    <t>TOTAL</t>
  </si>
  <si>
    <t>신민이</t>
  </si>
  <si>
    <r>
      <rPr>
        <rFont val="Arial"/>
        <color rgb="FF000000"/>
      </rPr>
      <t xml:space="preserve">11:30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</t>
    </r>
    <r>
      <rPr>
        <rFont val="Arial"/>
        <color rgb="FF000000"/>
      </rPr>
      <t>)</t>
    </r>
  </si>
  <si>
    <t>12:00 진로개발(김나영)</t>
  </si>
  <si>
    <t>16:00 외국계(성지우)</t>
  </si>
  <si>
    <t>심영섭</t>
  </si>
  <si>
    <r>
      <rPr>
        <rFont val="Arial"/>
        <color rgb="FF000000"/>
      </rPr>
      <t xml:space="preserve">12:30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김민경)</t>
    </r>
  </si>
  <si>
    <t>17:00 외국계(성지우)</t>
  </si>
  <si>
    <t>양우석</t>
  </si>
  <si>
    <t>이상환</t>
  </si>
  <si>
    <t>13:00 서류면접(강 진)</t>
  </si>
  <si>
    <t>이주환</t>
  </si>
  <si>
    <t>14:00 서류면접(강 진)</t>
  </si>
  <si>
    <t>이하영</t>
  </si>
  <si>
    <t>이효숙</t>
  </si>
  <si>
    <t>이희영</t>
  </si>
  <si>
    <t>장신혜</t>
  </si>
  <si>
    <t>정지선</t>
  </si>
  <si>
    <t>지명선</t>
  </si>
  <si>
    <t>최은주</t>
  </si>
  <si>
    <t>기말고사</t>
  </si>
  <si>
    <t>한 나</t>
  </si>
  <si>
    <t>민현정</t>
  </si>
  <si>
    <t>10:00 서류면접 (심영섭)</t>
  </si>
  <si>
    <t>12:00 서류면접 (심영섭)</t>
  </si>
  <si>
    <t>10:30 서류면접(김지현)</t>
  </si>
  <si>
    <t>11:30 서류면접(김지현)</t>
  </si>
  <si>
    <t>12:30 서류면접(김지현)</t>
  </si>
  <si>
    <r>
      <rPr>
        <rFont val="Arial"/>
        <color rgb="FF000000"/>
      </rPr>
      <t xml:space="preserve">10:00 </t>
    </r>
    <r>
      <rPr>
        <rFont val="Calibri"/>
        <color rgb="FF000000"/>
      </rPr>
      <t>진로개발</t>
    </r>
    <r>
      <rPr>
        <rFont val="Arial"/>
        <color rgb="FF000000"/>
      </rPr>
      <t>(</t>
    </r>
    <r>
      <rPr>
        <rFont val="Calibri"/>
        <color rgb="FF000000"/>
      </rPr>
      <t>신민이</t>
    </r>
    <r>
      <rPr>
        <rFont val="Arial"/>
        <color rgb="FF000000"/>
      </rPr>
      <t>)</t>
    </r>
  </si>
  <si>
    <r>
      <rPr>
        <rFont val="Arial"/>
        <color rgb="FF000000"/>
      </rPr>
      <t xml:space="preserve">11:00 </t>
    </r>
    <r>
      <rPr>
        <rFont val="Calibri"/>
        <color rgb="FF000000"/>
      </rPr>
      <t>진로개발</t>
    </r>
    <r>
      <rPr>
        <rFont val="Arial"/>
        <color rgb="FF000000"/>
      </rPr>
      <t>(</t>
    </r>
    <r>
      <rPr>
        <rFont val="Calibri"/>
        <color rgb="FF000000"/>
      </rPr>
      <t>신민이</t>
    </r>
    <r>
      <rPr>
        <rFont val="Arial"/>
        <color rgb="FF000000"/>
      </rPr>
      <t>)</t>
    </r>
  </si>
  <si>
    <t>11:00 서류면접(김나영)</t>
  </si>
  <si>
    <t>10:00 진로개발(정지선)</t>
  </si>
  <si>
    <r>
      <rPr>
        <rFont val="Arial"/>
        <color rgb="FF000000"/>
      </rPr>
      <t xml:space="preserve">10:00 </t>
    </r>
    <r>
      <rPr>
        <rFont val="Calibri"/>
        <color rgb="FF000000"/>
      </rPr>
      <t>진로개발</t>
    </r>
    <r>
      <rPr>
        <rFont val="Arial"/>
        <color rgb="FF000000"/>
      </rPr>
      <t>(</t>
    </r>
    <r>
      <rPr>
        <rFont val="Calibri"/>
        <color rgb="FF000000"/>
      </rPr>
      <t>신민이</t>
    </r>
    <r>
      <rPr>
        <rFont val="Arial"/>
        <color rgb="FF000000"/>
      </rPr>
      <t>)</t>
    </r>
  </si>
  <si>
    <t>성탄절</t>
  </si>
  <si>
    <t>11:00 진로개발(정지선)</t>
  </si>
  <si>
    <r>
      <rPr>
        <rFont val="Arial"/>
        <color rgb="FF000000"/>
      </rPr>
      <t xml:space="preserve">11:00 </t>
    </r>
    <r>
      <rPr>
        <rFont val="Calibri"/>
        <color rgb="FF000000"/>
      </rPr>
      <t>진로개발</t>
    </r>
    <r>
      <rPr>
        <rFont val="Arial"/>
        <color rgb="FF000000"/>
      </rPr>
      <t>(</t>
    </r>
    <r>
      <rPr>
        <rFont val="Calibri"/>
        <color rgb="FF000000"/>
      </rPr>
      <t>신민이</t>
    </r>
    <r>
      <rPr>
        <rFont val="Arial"/>
        <color rgb="FF000000"/>
      </rPr>
      <t>)</t>
    </r>
  </si>
  <si>
    <t>9:00 외국계(성지우)</t>
  </si>
  <si>
    <r>
      <rPr>
        <rFont val="Arial"/>
        <color rgb="FF000000"/>
      </rPr>
      <t xml:space="preserve">11:30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</t>
    </r>
    <r>
      <rPr>
        <rFont val="Arial"/>
        <color rgb="FF000000"/>
      </rPr>
      <t>)</t>
    </r>
  </si>
  <si>
    <t>10:30 외국계(지명선)</t>
  </si>
  <si>
    <r>
      <rPr>
        <rFont val="Arial"/>
        <color rgb="FF000000"/>
      </rPr>
      <t xml:space="preserve">12:30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김민경)</t>
    </r>
  </si>
  <si>
    <t>11:30 외국계(지명선)</t>
  </si>
  <si>
    <t>연말</t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</si>
  <si>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</si>
  <si>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</si>
  <si>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</si>
  <si>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</si>
  <si>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</si>
  <si>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t xml:space="preserve">1 DAY 모의면접 </t>
  </si>
  <si>
    <t>10:00 이공계(김세희)</t>
  </si>
  <si>
    <t>11:00 이공계(김세희)</t>
  </si>
  <si>
    <t>12:00 이공계(김세희)</t>
  </si>
  <si>
    <r>
      <rPr>
        <rFont val="Arial"/>
        <color rgb="FF000000"/>
      </rPr>
      <t>10:00 이공계(정지선_대면)</t>
    </r>
    <r>
      <rPr>
        <rFont val="Arial"/>
        <color rgb="FFFF0000"/>
        <sz val="12.0"/>
      </rPr>
      <t>*</t>
    </r>
  </si>
  <si>
    <r>
      <rPr>
        <rFont val="Arial"/>
        <color rgb="FF000000"/>
      </rPr>
      <t>11:00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</si>
  <si>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</rPr>
      <t>12:00 이공계(정지선_대면)</t>
    </r>
    <r>
      <rPr>
        <rFont val="Arial"/>
        <color rgb="FFFF0000"/>
        <sz val="12.0"/>
      </rPr>
      <t>*</t>
    </r>
  </si>
  <si>
    <t>12:30 서류면접 (이희영)</t>
  </si>
  <si>
    <t>13:30 서류면접 (이희영)</t>
  </si>
  <si>
    <t>10:30 콘텐츠엔터(이상환)</t>
  </si>
  <si>
    <t>9:30 서류면접(심영섭)</t>
  </si>
  <si>
    <r>
      <rPr>
        <rFont val="Arial"/>
        <color rgb="FF000000"/>
      </rPr>
      <t>10:00 공기업 (심영섭_대면)</t>
    </r>
    <r>
      <rPr>
        <rFont val="Arial"/>
        <color rgb="FFFF0000"/>
      </rPr>
      <t>*</t>
    </r>
  </si>
  <si>
    <t>11:30 콘텐츠엔터(이상환)</t>
  </si>
  <si>
    <t>10:30 서류면접 (심영섭)</t>
  </si>
  <si>
    <r>
      <rPr>
        <rFont val="Arial"/>
        <color rgb="FF000000"/>
      </rPr>
      <t>11:00 서류면접 (심영섭_대면)</t>
    </r>
    <r>
      <rPr>
        <rFont val="Arial"/>
        <color rgb="FFFF0000"/>
      </rPr>
      <t>*</t>
    </r>
  </si>
  <si>
    <t>11:30 서류면접 (심영섭)</t>
  </si>
  <si>
    <r>
      <rPr>
        <rFont val="Arial"/>
        <color theme="1"/>
      </rPr>
      <t>10:30 서류면접(김지현_대면)</t>
    </r>
    <r>
      <rPr>
        <rFont val="Arial"/>
        <color rgb="FFFF0000"/>
        <sz val="12.0"/>
      </rPr>
      <t>*</t>
    </r>
  </si>
  <si>
    <r>
      <rPr>
        <rFont val="Arial"/>
        <color rgb="FF000000"/>
      </rPr>
      <t>12:00 서류면접 (심영섭_대면)</t>
    </r>
    <r>
      <rPr>
        <rFont val="Arial"/>
        <color rgb="FFFF0000"/>
      </rPr>
      <t>*</t>
    </r>
  </si>
  <si>
    <r>
      <rPr>
        <rFont val="Calibri"/>
        <color theme="1"/>
        <sz val="11.0"/>
      </rPr>
      <t>11:00 서류면접 (범하나_대면)</t>
    </r>
    <r>
      <rPr>
        <rFont val="Calibri"/>
        <color rgb="FFFF0000"/>
        <sz val="11.0"/>
      </rPr>
      <t>*</t>
    </r>
  </si>
  <si>
    <r>
      <rPr>
        <rFont val="Arial"/>
        <color theme="1"/>
      </rPr>
      <t>11:30 서류면접(김지현_대면)</t>
    </r>
    <r>
      <rPr>
        <rFont val="Arial"/>
        <color rgb="FFFF0000"/>
        <sz val="12.0"/>
      </rPr>
      <t>*</t>
    </r>
  </si>
  <si>
    <r>
      <rPr>
        <rFont val="Calibri"/>
        <color theme="1"/>
        <sz val="11.0"/>
      </rPr>
      <t>12:00 서류면접 (범하나_대면)</t>
    </r>
    <r>
      <rPr>
        <rFont val="Calibri"/>
        <color rgb="FFFF0000"/>
        <sz val="11.0"/>
      </rPr>
      <t>*</t>
    </r>
  </si>
  <si>
    <t>12:00 서류면접(장신혜)</t>
  </si>
  <si>
    <r>
      <rPr>
        <rFont val="Arial"/>
        <color theme="1"/>
      </rPr>
      <t>12:30 서류면접(김지현_대면)</t>
    </r>
    <r>
      <rPr>
        <rFont val="Arial"/>
        <color rgb="FFFF0000"/>
        <sz val="12.0"/>
      </rPr>
      <t>*</t>
    </r>
  </si>
  <si>
    <r>
      <rPr>
        <rFont val="Calibri"/>
        <color theme="1"/>
        <sz val="11.0"/>
      </rPr>
      <t>13:00 서류면접 (범하나_대면)</t>
    </r>
    <r>
      <rPr>
        <rFont val="Calibri"/>
        <color rgb="FFFF0000"/>
        <sz val="11.0"/>
      </rPr>
      <t>*</t>
    </r>
  </si>
  <si>
    <t>13:00 진로개발(김나영)</t>
  </si>
  <si>
    <r>
      <rPr>
        <rFont val="Arial"/>
        <color rgb="FF000000"/>
      </rPr>
      <t xml:space="preserve">11:30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</t>
    </r>
    <r>
      <rPr>
        <rFont val="Arial"/>
        <color rgb="FF000000"/>
      </rPr>
      <t>)</t>
    </r>
  </si>
  <si>
    <r>
      <rPr>
        <rFont val="Arial"/>
        <color rgb="FF000000"/>
      </rPr>
      <t xml:space="preserve">12:30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김민경)</t>
    </r>
  </si>
  <si>
    <r>
      <rPr>
        <rFont val="Arial"/>
        <color rgb="FF9900FF"/>
      </rPr>
      <t xml:space="preserve">09:00 </t>
    </r>
    <r>
      <rPr>
        <rFont val="Calibri"/>
        <color rgb="FF9900FF"/>
      </rPr>
      <t>진로개발</t>
    </r>
    <r>
      <rPr>
        <rFont val="Arial"/>
        <color rgb="FF9900FF"/>
      </rPr>
      <t>(</t>
    </r>
    <r>
      <rPr>
        <rFont val="Calibri"/>
        <color rgb="FF9900FF"/>
      </rPr>
      <t>신민이</t>
    </r>
    <r>
      <rPr>
        <rFont val="Arial"/>
        <color rgb="FF9900FF"/>
      </rPr>
      <t>)</t>
    </r>
  </si>
  <si>
    <r>
      <rPr>
        <rFont val="Arial"/>
        <color rgb="FFFF00FF"/>
      </rPr>
      <t>10:10 서류면접(강 진_대면)</t>
    </r>
    <r>
      <rPr>
        <rFont val="Arial"/>
        <color rgb="FFFF00FF"/>
      </rPr>
      <t>*</t>
    </r>
  </si>
  <si>
    <r>
      <rPr>
        <rFont val="Arial"/>
        <color rgb="FF000000"/>
      </rPr>
      <t xml:space="preserve">13:30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김민경)</t>
    </r>
  </si>
  <si>
    <r>
      <rPr>
        <rFont val="Arial"/>
        <color rgb="FF9900FF"/>
      </rPr>
      <t xml:space="preserve">10:00 </t>
    </r>
    <r>
      <rPr>
        <rFont val="Calibri"/>
        <color rgb="FF9900FF"/>
      </rPr>
      <t>진로개발</t>
    </r>
    <r>
      <rPr>
        <rFont val="Arial"/>
        <color rgb="FF9900FF"/>
      </rPr>
      <t>(</t>
    </r>
    <r>
      <rPr>
        <rFont val="Calibri"/>
        <color rgb="FF9900FF"/>
      </rPr>
      <t>신민이</t>
    </r>
    <r>
      <rPr>
        <rFont val="Arial"/>
        <color rgb="FF9900FF"/>
      </rPr>
      <t>)</t>
    </r>
  </si>
  <si>
    <r>
      <rPr>
        <rFont val="Arial"/>
        <color rgb="FFFF00FF"/>
      </rPr>
      <t>11:10 서류면접 (강 진_대면)</t>
    </r>
    <r>
      <rPr>
        <rFont val="Arial"/>
        <color rgb="FFFF00FF"/>
      </rPr>
      <t>*</t>
    </r>
  </si>
  <si>
    <t>10:00 서류면접(정지선)</t>
  </si>
  <si>
    <r>
      <rPr>
        <rFont val="Arial"/>
        <color rgb="FFFF00FF"/>
      </rPr>
      <t>12:10 서류면접 (강 진_대면)</t>
    </r>
    <r>
      <rPr>
        <rFont val="Arial"/>
        <color rgb="FFFF00FF"/>
      </rPr>
      <t>*</t>
    </r>
  </si>
  <si>
    <t>11:00 서류면접(정지선)</t>
  </si>
  <si>
    <t>12:00 서류면접(정지선)</t>
  </si>
  <si>
    <t>14:00 임원면접 (양우석)</t>
  </si>
  <si>
    <r>
      <rPr>
        <rFont val="Arial"/>
        <color rgb="FF9900FF"/>
      </rPr>
      <t xml:space="preserve">13:00 </t>
    </r>
    <r>
      <rPr>
        <rFont val="Calibri"/>
        <color rgb="FF9900FF"/>
      </rPr>
      <t>진로개발</t>
    </r>
    <r>
      <rPr>
        <rFont val="Arial"/>
        <color rgb="FF9900FF"/>
      </rPr>
      <t>(</t>
    </r>
    <r>
      <rPr>
        <rFont val="Calibri"/>
        <color rgb="FF9900FF"/>
      </rPr>
      <t>신민이</t>
    </r>
    <r>
      <rPr>
        <rFont val="Arial"/>
        <color rgb="FF9900FF"/>
      </rPr>
      <t>)</t>
    </r>
  </si>
  <si>
    <t>15:00 외국계(성지우)</t>
  </si>
  <si>
    <r>
      <rPr>
        <rFont val="Arial"/>
        <color rgb="FF000000"/>
      </rPr>
      <t>10:00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</si>
  <si>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</rPr>
      <t xml:space="preserve">10:00 </t>
    </r>
    <r>
      <rPr>
        <rFont val="Arial"/>
        <color theme="1"/>
      </rPr>
      <t>진로개발</t>
    </r>
    <r>
      <rPr>
        <rFont val="Arial"/>
        <color theme="1"/>
      </rPr>
      <t>(</t>
    </r>
    <r>
      <rPr>
        <rFont val="Arial"/>
        <color theme="1"/>
      </rPr>
      <t>신민이</t>
    </r>
    <r>
      <rPr>
        <rFont val="Arial"/>
        <color theme="1"/>
      </rPr>
      <t>)</t>
    </r>
  </si>
  <si>
    <r>
      <rPr>
        <rFont val="Arial"/>
        <color rgb="FF000000"/>
      </rPr>
      <t>11:00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</si>
  <si>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</rPr>
      <t>12:00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</si>
  <si>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</rPr>
      <t xml:space="preserve">12:00 </t>
    </r>
    <r>
      <rPr>
        <rFont val="Arial"/>
        <color theme="1"/>
      </rPr>
      <t>진로개발</t>
    </r>
    <r>
      <rPr>
        <rFont val="Arial"/>
        <color theme="1"/>
      </rPr>
      <t>(</t>
    </r>
    <r>
      <rPr>
        <rFont val="Arial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</si>
  <si>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10:00 공기업 (심영섭_대면)</t>
    </r>
    <r>
      <rPr>
        <rFont val="Arial"/>
        <color rgb="FFFF0000"/>
      </rPr>
      <t>*</t>
    </r>
  </si>
  <si>
    <r>
      <rPr>
        <rFont val="Arial"/>
        <b/>
        <color rgb="FF9900FF"/>
      </rPr>
      <t>10:00 서류면접 (심영섭_대면)</t>
    </r>
    <r>
      <rPr>
        <rFont val="Arial"/>
        <b/>
        <color rgb="FF9900FF"/>
      </rPr>
      <t>*</t>
    </r>
  </si>
  <si>
    <r>
      <rPr>
        <rFont val="Arial"/>
        <color theme="1"/>
      </rPr>
      <t>11:00 서류면접 (심영섭_대면)</t>
    </r>
    <r>
      <rPr>
        <rFont val="Arial"/>
        <color rgb="FFFF0000"/>
      </rPr>
      <t>*</t>
    </r>
  </si>
  <si>
    <r>
      <rPr>
        <rFont val="Arial"/>
        <color theme="1"/>
      </rPr>
      <t>10:30 서류면접(김지현_대면)</t>
    </r>
    <r>
      <rPr>
        <rFont val="Arial"/>
        <color rgb="FFFF0000"/>
        <sz val="12.0"/>
      </rPr>
      <t>*</t>
    </r>
  </si>
  <si>
    <r>
      <rPr>
        <rFont val="Arial"/>
        <color theme="1"/>
      </rPr>
      <t>12:00 서류면접 (심영섭_대면)</t>
    </r>
    <r>
      <rPr>
        <rFont val="Arial"/>
        <color rgb="FFFF0000"/>
      </rPr>
      <t>*</t>
    </r>
  </si>
  <si>
    <r>
      <rPr>
        <rFont val="Arial"/>
        <color theme="1"/>
        <sz val="11.0"/>
      </rPr>
      <t>11:00 서류면접 (범하나_대면)</t>
    </r>
    <r>
      <rPr>
        <rFont val="Arial"/>
        <color rgb="FFFF0000"/>
        <sz val="11.0"/>
      </rPr>
      <t>*</t>
    </r>
  </si>
  <si>
    <r>
      <rPr>
        <rFont val="Arial"/>
        <color theme="1"/>
      </rPr>
      <t>11:30 서류면접(김지현_대면)</t>
    </r>
    <r>
      <rPr>
        <rFont val="Arial"/>
        <color rgb="FFFF0000"/>
        <sz val="12.0"/>
      </rPr>
      <t>*</t>
    </r>
  </si>
  <si>
    <r>
      <rPr>
        <rFont val="Arial"/>
        <color theme="1"/>
        <sz val="11.0"/>
      </rPr>
      <t>12:00 서류면접 (범하나_대면)</t>
    </r>
    <r>
      <rPr>
        <rFont val="Arial"/>
        <color rgb="FFFF0000"/>
        <sz val="11.0"/>
      </rPr>
      <t>*</t>
    </r>
  </si>
  <si>
    <r>
      <rPr>
        <rFont val="Arial"/>
        <color theme="1"/>
      </rPr>
      <t>12:30 서류면접(김지현_대면)</t>
    </r>
    <r>
      <rPr>
        <rFont val="Arial"/>
        <color rgb="FFFF0000"/>
        <sz val="12.0"/>
      </rPr>
      <t>*</t>
    </r>
  </si>
  <si>
    <r>
      <rPr>
        <rFont val="Arial"/>
        <color theme="1"/>
        <sz val="11.0"/>
      </rPr>
      <t>13:00 서류면접 (범하나_대면)</t>
    </r>
    <r>
      <rPr>
        <rFont val="Arial"/>
        <color rgb="FFFF0000"/>
        <sz val="11.0"/>
      </rPr>
      <t>*</t>
    </r>
  </si>
  <si>
    <r>
      <rPr>
        <rFont val="Arial"/>
        <color rgb="FFFF00FF"/>
      </rPr>
      <t>10:30 서류면접(김지현_대면)</t>
    </r>
    <r>
      <rPr>
        <rFont val="Arial"/>
        <color rgb="FFFF00FF"/>
        <sz val="12.0"/>
      </rPr>
      <t>*</t>
    </r>
  </si>
  <si>
    <r>
      <rPr>
        <rFont val="Arial"/>
        <color theme="1"/>
      </rPr>
      <t xml:space="preserve">11:30 </t>
    </r>
    <r>
      <rPr>
        <rFont val="Arial"/>
        <color theme="1"/>
      </rPr>
      <t>서류면접</t>
    </r>
    <r>
      <rPr>
        <rFont val="Arial"/>
        <color theme="1"/>
      </rPr>
      <t xml:space="preserve"> (</t>
    </r>
    <r>
      <rPr>
        <rFont val="Arial"/>
        <color theme="1"/>
      </rPr>
      <t>김민경</t>
    </r>
    <r>
      <rPr>
        <rFont val="Arial"/>
        <color theme="1"/>
      </rPr>
      <t>)</t>
    </r>
  </si>
  <si>
    <r>
      <rPr>
        <rFont val="Arial"/>
        <color rgb="FFFF00FF"/>
      </rPr>
      <t>11:30 서류면접(김지현_대면)</t>
    </r>
    <r>
      <rPr>
        <rFont val="Arial"/>
        <color rgb="FFFF00FF"/>
        <sz val="12.0"/>
      </rPr>
      <t>*</t>
    </r>
  </si>
  <si>
    <r>
      <rPr>
        <rFont val="Arial"/>
        <color theme="1"/>
      </rPr>
      <t xml:space="preserve">12:30 </t>
    </r>
    <r>
      <rPr>
        <rFont val="Arial"/>
        <color theme="1"/>
      </rPr>
      <t>서류면접</t>
    </r>
    <r>
      <rPr>
        <rFont val="Arial"/>
        <color theme="1"/>
      </rPr>
      <t xml:space="preserve"> (</t>
    </r>
    <r>
      <rPr>
        <rFont val="Arial"/>
        <color theme="1"/>
      </rPr>
      <t>김민경)</t>
    </r>
  </si>
  <si>
    <r>
      <rPr>
        <rFont val="Arial"/>
        <color rgb="FFFF00FF"/>
      </rPr>
      <t>12:30 서류면접(김지현_대면)</t>
    </r>
    <r>
      <rPr>
        <rFont val="Arial"/>
        <color rgb="FFFF00FF"/>
        <sz val="12.0"/>
      </rPr>
      <t>*</t>
    </r>
  </si>
  <si>
    <r>
      <rPr>
        <rFont val="Arial"/>
        <color theme="1"/>
      </rPr>
      <t xml:space="preserve">13:30 </t>
    </r>
    <r>
      <rPr>
        <rFont val="Arial"/>
        <color theme="1"/>
      </rPr>
      <t>서류면접</t>
    </r>
    <r>
      <rPr>
        <rFont val="Arial"/>
        <color theme="1"/>
      </rPr>
      <t xml:space="preserve"> (</t>
    </r>
    <r>
      <rPr>
        <rFont val="Arial"/>
        <color theme="1"/>
      </rPr>
      <t>김민경)</t>
    </r>
  </si>
  <si>
    <r>
      <rPr>
        <rFont val="Arial"/>
        <b/>
        <color rgb="FF9900FF"/>
      </rPr>
      <t>13:30 서류면접(김지현_대면)</t>
    </r>
    <r>
      <rPr>
        <rFont val="Arial"/>
        <b/>
        <color rgb="FF9900FF"/>
        <sz val="12.0"/>
      </rPr>
      <t>*</t>
    </r>
  </si>
  <si>
    <t>16:00 외국계(지명선)</t>
  </si>
  <si>
    <r>
      <rPr>
        <rFont val="Arial"/>
        <color rgb="FFFF00FF"/>
      </rPr>
      <t>10:10 서류면접(강 진_대면)</t>
    </r>
    <r>
      <rPr>
        <rFont val="Arial"/>
        <color rgb="FFFF00FF"/>
      </rPr>
      <t>*</t>
    </r>
  </si>
  <si>
    <r>
      <rPr>
        <rFont val="Arial"/>
        <color rgb="FFFF00FF"/>
      </rPr>
      <t>11:10 서류면접 (강 진_대면)</t>
    </r>
    <r>
      <rPr>
        <rFont val="Arial"/>
        <color rgb="FFFF00FF"/>
      </rPr>
      <t>*</t>
    </r>
  </si>
  <si>
    <r>
      <rPr>
        <rFont val="Arial"/>
        <color rgb="FFFF00FF"/>
      </rPr>
      <t>12:10 서류면접 (강 진_대면)</t>
    </r>
    <r>
      <rPr>
        <rFont val="Arial"/>
        <color rgb="FFFF00FF"/>
      </rPr>
      <t>*</t>
    </r>
  </si>
  <si>
    <r>
      <rPr>
        <rFont val="Arial"/>
        <color rgb="FF000000"/>
      </rPr>
      <t>10:00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</si>
  <si>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</rPr>
      <t xml:space="preserve">10:00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</si>
  <si>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rgb="FF000000"/>
      </rPr>
      <t>11:00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</si>
  <si>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</si>
  <si>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12:00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</si>
  <si>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</si>
  <si>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10:00 공기업 (심영섭_대면)</t>
    </r>
    <r>
      <rPr>
        <rFont val="Arial"/>
        <color rgb="FFFF0000"/>
      </rPr>
      <t>*</t>
    </r>
  </si>
  <si>
    <r>
      <rPr>
        <rFont val="Arial"/>
        <color theme="1"/>
      </rPr>
      <t>11:00 서류면접 (심영섭_대면)</t>
    </r>
    <r>
      <rPr>
        <rFont val="Arial"/>
        <color rgb="FFFF0000"/>
      </rPr>
      <t>*</t>
    </r>
  </si>
  <si>
    <r>
      <rPr>
        <rFont val="Arial"/>
        <color theme="1"/>
      </rPr>
      <t>12:00 서류면접 (심영섭_대면)</t>
    </r>
    <r>
      <rPr>
        <rFont val="Arial"/>
        <color rgb="FFFF0000"/>
      </rPr>
      <t>*</t>
    </r>
  </si>
  <si>
    <r>
      <rPr>
        <rFont val="Calibri"/>
        <color theme="1"/>
        <sz val="11.0"/>
      </rPr>
      <t>11:00 서류면접 (범하나_대면)</t>
    </r>
    <r>
      <rPr>
        <rFont val="Calibri"/>
        <color rgb="FFFF0000"/>
        <sz val="11.0"/>
      </rPr>
      <t>*</t>
    </r>
  </si>
  <si>
    <t>11:30 서류면접(심영섭)</t>
  </si>
  <si>
    <r>
      <rPr>
        <rFont val="Calibri"/>
        <color theme="1"/>
        <sz val="11.0"/>
      </rPr>
      <t>12:00 서류면접 (범하나_대면)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</si>
  <si>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>13:00 서류면접 (범하나_대면)</t>
    </r>
    <r>
      <rPr>
        <rFont val="Calibri"/>
        <color rgb="FFFF0000"/>
        <sz val="11.0"/>
      </rPr>
      <t>*</t>
    </r>
  </si>
  <si>
    <r>
      <rPr>
        <rFont val="Arial"/>
        <color theme="1"/>
      </rPr>
      <t xml:space="preserve">11:30 </t>
    </r>
    <r>
      <rPr>
        <rFont val="Calibri"/>
        <color theme="1"/>
      </rPr>
      <t>서류면접</t>
    </r>
    <r>
      <rPr>
        <rFont val="Arial"/>
        <color theme="1"/>
      </rPr>
      <t xml:space="preserve"> (</t>
    </r>
    <r>
      <rPr>
        <rFont val="Calibri"/>
        <color theme="1"/>
      </rPr>
      <t>김민경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</si>
  <si>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서류면접</t>
    </r>
    <r>
      <rPr>
        <rFont val="Arial"/>
        <color theme="1"/>
      </rPr>
      <t xml:space="preserve"> (</t>
    </r>
    <r>
      <rPr>
        <rFont val="Calibri"/>
        <color theme="1"/>
      </rPr>
      <t>김민경)</t>
    </r>
  </si>
  <si>
    <r>
      <rPr>
        <rFont val="Arial"/>
        <color rgb="FFFF00FF"/>
      </rPr>
      <t>10:10 서류면접(강 진_대면)</t>
    </r>
    <r>
      <rPr>
        <rFont val="Arial"/>
        <color rgb="FFFF00FF"/>
      </rPr>
      <t>*</t>
    </r>
  </si>
  <si>
    <r>
      <rPr>
        <rFont val="Arial"/>
        <color theme="1"/>
      </rPr>
      <t xml:space="preserve">13:30 </t>
    </r>
    <r>
      <rPr>
        <rFont val="Calibri"/>
        <color theme="1"/>
      </rPr>
      <t>서류면접</t>
    </r>
    <r>
      <rPr>
        <rFont val="Arial"/>
        <color theme="1"/>
      </rPr>
      <t xml:space="preserve"> (</t>
    </r>
    <r>
      <rPr>
        <rFont val="Calibri"/>
        <color theme="1"/>
      </rPr>
      <t>김민경)</t>
    </r>
  </si>
  <si>
    <r>
      <rPr>
        <rFont val="Arial"/>
        <color rgb="FFFF00FF"/>
      </rPr>
      <t>11:10 서류면접 (강 진_대면)</t>
    </r>
    <r>
      <rPr>
        <rFont val="Arial"/>
        <color rgb="FFFF00FF"/>
      </rPr>
      <t>*</t>
    </r>
  </si>
  <si>
    <r>
      <rPr>
        <rFont val="Arial"/>
        <color rgb="FFFF00FF"/>
      </rPr>
      <t>12:10 서류면접 (강 진_대면)</t>
    </r>
    <r>
      <rPr>
        <rFont val="Arial"/>
        <color rgb="FFFF00FF"/>
      </rPr>
      <t>*</t>
    </r>
  </si>
  <si>
    <t>10:00 외국계(성지우)</t>
  </si>
  <si>
    <r>
      <rPr>
        <rFont val="Arial"/>
        <color theme="1"/>
      </rPr>
      <t>10:00 이공계(정지선_대면)</t>
    </r>
    <r>
      <rPr>
        <rFont val="Arial"/>
        <color rgb="FFFF0000"/>
        <sz val="12.0"/>
      </rPr>
      <t>*</t>
    </r>
  </si>
  <si>
    <t>호크마데이</t>
  </si>
  <si>
    <r>
      <rPr>
        <rFont val="Arial"/>
        <color rgb="FF000000"/>
      </rPr>
      <t>11:00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</si>
  <si>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</rPr>
      <t xml:space="preserve">10:00 </t>
    </r>
    <r>
      <rPr>
        <rFont val="Arial"/>
        <color rgb="FFFF00FF"/>
      </rPr>
      <t>서류면접</t>
    </r>
    <r>
      <rPr>
        <rFont val="Arial"/>
        <color theme="1"/>
      </rPr>
      <t xml:space="preserve"> (김선화)</t>
    </r>
  </si>
  <si>
    <r>
      <rPr>
        <rFont val="Arial"/>
        <color theme="1"/>
      </rPr>
      <t xml:space="preserve">10:00 </t>
    </r>
    <r>
      <rPr>
        <rFont val="Arial"/>
        <color rgb="FFFF00FF"/>
      </rPr>
      <t xml:space="preserve">서류면접 </t>
    </r>
    <r>
      <rPr>
        <rFont val="Arial"/>
        <color theme="1"/>
      </rPr>
      <t>(심영섭_대면)</t>
    </r>
    <r>
      <rPr>
        <rFont val="Arial"/>
        <color rgb="FFFF0000"/>
      </rPr>
      <t>*</t>
    </r>
  </si>
  <si>
    <r>
      <rPr>
        <rFont val="Arial"/>
        <color theme="1"/>
      </rPr>
      <t>11:00 서류면접 (심영섭_대면)</t>
    </r>
    <r>
      <rPr>
        <rFont val="Arial"/>
        <color rgb="FFFF0000"/>
      </rPr>
      <t>*</t>
    </r>
  </si>
  <si>
    <r>
      <rPr>
        <rFont val="Calibri"/>
        <color theme="1"/>
        <sz val="11.0"/>
      </rPr>
      <t>11:00 서류면접 (범하나_대면)</t>
    </r>
    <r>
      <rPr>
        <rFont val="Calibri"/>
        <color rgb="FFFF0000"/>
        <sz val="11.0"/>
      </rPr>
      <t>*</t>
    </r>
  </si>
  <si>
    <r>
      <rPr>
        <rFont val="Arial"/>
        <color rgb="FF000000"/>
      </rPr>
      <t>11:30 서류면접(김지현_대면)</t>
    </r>
    <r>
      <rPr>
        <rFont val="Arial"/>
        <color rgb="FFFF0000"/>
        <sz val="12.0"/>
      </rPr>
      <t>*</t>
    </r>
  </si>
  <si>
    <r>
      <rPr>
        <rFont val="Calibri"/>
        <color theme="1"/>
        <sz val="11.0"/>
      </rPr>
      <t>12:00 서류면접 (범하나_대면)</t>
    </r>
    <r>
      <rPr>
        <rFont val="Calibri"/>
        <color rgb="FFFF0000"/>
        <sz val="11.0"/>
      </rPr>
      <t>*</t>
    </r>
  </si>
  <si>
    <r>
      <rPr>
        <rFont val="Arial"/>
        <color rgb="FFFF00FF"/>
      </rPr>
      <t>10:10 서류면접(강 진_대면)</t>
    </r>
    <r>
      <rPr>
        <rFont val="Arial"/>
        <color rgb="FFFF00FF"/>
      </rPr>
      <t>*</t>
    </r>
  </si>
  <si>
    <r>
      <rPr>
        <rFont val="Arial"/>
        <color rgb="FFFF00FF"/>
      </rPr>
      <t xml:space="preserve">10:00 </t>
    </r>
    <r>
      <rPr>
        <rFont val="Calibri"/>
        <color rgb="FFFF00FF"/>
      </rPr>
      <t>진로개발</t>
    </r>
    <r>
      <rPr>
        <rFont val="Arial"/>
        <color rgb="FFFF00FF"/>
      </rPr>
      <t>(</t>
    </r>
    <r>
      <rPr>
        <rFont val="Calibri"/>
        <color rgb="FFFF00FF"/>
      </rPr>
      <t>신민이</t>
    </r>
    <r>
      <rPr>
        <rFont val="Arial"/>
        <color rgb="FFFF00FF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</si>
  <si>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서류면접</t>
    </r>
    <r>
      <rPr>
        <rFont val="Arial"/>
        <color theme="1"/>
      </rPr>
      <t xml:space="preserve"> (</t>
    </r>
    <r>
      <rPr>
        <rFont val="Calibri"/>
        <color theme="1"/>
      </rPr>
      <t>김민경</t>
    </r>
    <r>
      <rPr>
        <rFont val="Arial"/>
        <color theme="1"/>
      </rPr>
      <t>)</t>
    </r>
  </si>
  <si>
    <r>
      <rPr>
        <rFont val="Arial"/>
        <color rgb="FFFF00FF"/>
      </rPr>
      <t>11:10 서류면접 (강 진_대면)</t>
    </r>
    <r>
      <rPr>
        <rFont val="Arial"/>
        <color rgb="FFFF00FF"/>
      </rPr>
      <t>*</t>
    </r>
  </si>
  <si>
    <r>
      <rPr>
        <rFont val="Arial"/>
        <color rgb="FFFF00FF"/>
      </rPr>
      <t xml:space="preserve">11:00 </t>
    </r>
    <r>
      <rPr>
        <rFont val="Calibri"/>
        <color rgb="FFFF00FF"/>
      </rPr>
      <t>진로개발</t>
    </r>
    <r>
      <rPr>
        <rFont val="Arial"/>
        <color rgb="FFFF00FF"/>
      </rPr>
      <t>(</t>
    </r>
    <r>
      <rPr>
        <rFont val="Calibri"/>
        <color rgb="FFFF00FF"/>
      </rPr>
      <t>신민이</t>
    </r>
    <r>
      <rPr>
        <rFont val="Arial"/>
        <color rgb="FFFF00FF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</si>
  <si>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서류면접</t>
    </r>
    <r>
      <rPr>
        <rFont val="Arial"/>
        <color theme="1"/>
      </rPr>
      <t xml:space="preserve"> (</t>
    </r>
    <r>
      <rPr>
        <rFont val="Calibri"/>
        <color theme="1"/>
      </rPr>
      <t>김민경)</t>
    </r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</si>
  <si>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</si>
  <si>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</si>
  <si>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</si>
  <si>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</si>
  <si>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</si>
  <si>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t>10:00 서류면접 (김선화)</t>
  </si>
  <si>
    <t>개천절</t>
  </si>
  <si>
    <t>10:30 서류면접 (이상환)</t>
  </si>
  <si>
    <r>
      <rPr>
        <rFont val="Calibri"/>
        <color theme="1"/>
        <sz val="11.0"/>
      </rPr>
      <t>11:00 서류면접 (범하나_대면)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</si>
  <si>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>12:00 서류면접 (범하나_대면)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</si>
  <si>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>13:00 서류면접 (범하나_대면)</t>
    </r>
    <r>
      <rPr>
        <rFont val="Calibri"/>
        <color rgb="FFFF0000"/>
        <sz val="11.0"/>
      </rPr>
      <t>*</t>
    </r>
  </si>
  <si>
    <t>추석연휴</t>
  </si>
  <si>
    <t>한글날</t>
  </si>
  <si>
    <r>
      <rPr>
        <rFont val="Arial"/>
        <color theme="1"/>
      </rPr>
      <t xml:space="preserve">10:00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</si>
  <si>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</si>
  <si>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12:00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</si>
  <si>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</si>
  <si>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10:00 공기업 (심영섭_대면)</t>
    </r>
    <r>
      <rPr>
        <rFont val="Arial"/>
        <color rgb="FFFF0000"/>
      </rPr>
      <t>*</t>
    </r>
  </si>
  <si>
    <r>
      <rPr>
        <rFont val="Arial"/>
        <color theme="1"/>
      </rPr>
      <t>11:00 서류면접 (심영섭_대면)</t>
    </r>
    <r>
      <rPr>
        <rFont val="Arial"/>
        <color rgb="FFFF0000"/>
      </rPr>
      <t>*</t>
    </r>
  </si>
  <si>
    <r>
      <rPr>
        <rFont val="Calibri"/>
        <color rgb="FFFF00FF"/>
        <sz val="11.0"/>
      </rPr>
      <t>11:00 진로개발 (범하나_대면)</t>
    </r>
    <r>
      <rPr>
        <rFont val="Calibri"/>
        <color rgb="FFFF00FF"/>
        <sz val="11.0"/>
      </rPr>
      <t>*</t>
    </r>
  </si>
  <si>
    <r>
      <rPr>
        <rFont val="Arial"/>
        <color theme="1"/>
      </rPr>
      <t>12:00 서류면접 (심영섭_대면)</t>
    </r>
    <r>
      <rPr>
        <rFont val="Arial"/>
        <color rgb="FFFF0000"/>
      </rPr>
      <t>*</t>
    </r>
  </si>
  <si>
    <r>
      <rPr>
        <rFont val="Calibri"/>
        <color theme="1"/>
        <sz val="11.0"/>
      </rPr>
      <t>12:00 서류면접 (범하나_대면)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</si>
  <si>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>13:00 서류면접 (범하나_대면)</t>
    </r>
    <r>
      <rPr>
        <rFont val="Calibri"/>
        <color rgb="FFFF0000"/>
        <sz val="11.0"/>
      </rPr>
      <t>*</t>
    </r>
  </si>
  <si>
    <r>
      <rPr>
        <rFont val="Arial"/>
        <color rgb="FF000000"/>
      </rPr>
      <t xml:space="preserve">11:30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</t>
    </r>
    <r>
      <rPr>
        <rFont val="Arial"/>
        <color rgb="FF000000"/>
      </rPr>
      <t>)</t>
    </r>
  </si>
  <si>
    <r>
      <rPr>
        <rFont val="Arial"/>
        <color rgb="FF000000"/>
      </rPr>
      <t xml:space="preserve">12:30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김민경)</t>
    </r>
  </si>
  <si>
    <t>12:30 진로개발(김지현)</t>
  </si>
  <si>
    <r>
      <rPr>
        <rFont val="Arial"/>
        <color rgb="FF000000"/>
      </rPr>
      <t>13:00 서류면접(강 진_대면)</t>
    </r>
    <r>
      <rPr>
        <rFont val="Arial"/>
        <color rgb="FFFF0000"/>
      </rPr>
      <t>*</t>
    </r>
  </si>
  <si>
    <r>
      <rPr>
        <rFont val="Arial"/>
        <color rgb="FF000000"/>
      </rPr>
      <t xml:space="preserve">13:30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김민경)</t>
    </r>
  </si>
  <si>
    <r>
      <rPr>
        <rFont val="Arial"/>
        <color rgb="FF000000"/>
      </rPr>
      <t>14:00 서류면접 (강 진_대면)</t>
    </r>
    <r>
      <rPr>
        <rFont val="Arial"/>
        <color rgb="FFFF0000"/>
      </rPr>
      <t>*</t>
    </r>
  </si>
  <si>
    <r>
      <rPr>
        <rFont val="Arial"/>
        <color rgb="FF000000"/>
      </rPr>
      <t>15:00 서류면접 (강 진_대면)</t>
    </r>
    <r>
      <rPr>
        <rFont val="Arial"/>
        <color rgb="FFFF0000"/>
      </rPr>
      <t>*</t>
    </r>
  </si>
  <si>
    <t>중간고사</t>
  </si>
  <si>
    <t>2학기 교양과목 시험시작</t>
  </si>
  <si>
    <t>2학기 교양과목 시험종료</t>
  </si>
  <si>
    <r>
      <rPr>
        <rFont val="Arial"/>
        <color theme="1"/>
      </rPr>
      <t>10:30 서류면접(김지현_대면)</t>
    </r>
    <r>
      <rPr>
        <rFont val="Arial"/>
        <color rgb="FFFF0000"/>
        <sz val="12.0"/>
      </rPr>
      <t>*</t>
    </r>
  </si>
  <si>
    <r>
      <rPr>
        <rFont val="Arial"/>
        <color theme="1"/>
      </rPr>
      <t>11:30 서류면접(김지현_대면)</t>
    </r>
    <r>
      <rPr>
        <rFont val="Arial"/>
        <color rgb="FFFF0000"/>
        <sz val="12.0"/>
      </rPr>
      <t>*</t>
    </r>
  </si>
  <si>
    <t>10:00 진로개발 (한 나)</t>
  </si>
  <si>
    <t>11:00 진로개발 (한 나)</t>
  </si>
  <si>
    <t>10:30 서류면접 (김지현)</t>
  </si>
  <si>
    <r>
      <rPr>
        <rFont val="Calibri"/>
        <color rgb="FF000000"/>
        <sz val="11.0"/>
      </rPr>
      <t>11:00 서류면접 (범하나_대면)</t>
    </r>
    <r>
      <rPr>
        <rFont val="Calibri"/>
        <color rgb="FF000000"/>
        <sz val="11.0"/>
      </rPr>
      <t>*</t>
    </r>
  </si>
  <si>
    <r>
      <rPr>
        <rFont val="Calibri"/>
        <color rgb="FF000000"/>
        <sz val="11.0"/>
      </rPr>
      <t>12:00 서류면접 (범하나_대면)</t>
    </r>
    <r>
      <rPr>
        <rFont val="Calibri"/>
        <color rgb="FF000000"/>
        <sz val="11.0"/>
      </rPr>
      <t>*</t>
    </r>
  </si>
  <si>
    <r>
      <rPr>
        <rFont val="Calibri"/>
        <color rgb="FF000000"/>
        <sz val="11.0"/>
      </rPr>
      <t>13:00 서류면접 (범하나_대면)</t>
    </r>
    <r>
      <rPr>
        <rFont val="Calibri"/>
        <color rgb="FF000000"/>
        <sz val="11.0"/>
      </rPr>
      <t>*</t>
    </r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</si>
  <si>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</si>
  <si>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</si>
  <si>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</si>
  <si>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</si>
  <si>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</si>
  <si>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t>10:00 서류면접(신민이)</t>
  </si>
  <si>
    <t>삼성 서류마감</t>
  </si>
  <si>
    <t>JOBFAIR</t>
  </si>
  <si>
    <t>11:00 서류면접(신민이)</t>
  </si>
  <si>
    <t>12:00 이공계(정지선)</t>
  </si>
  <si>
    <t>12:00 서류면접(신민이)</t>
  </si>
  <si>
    <r>
      <rPr>
        <rFont val="Arial"/>
        <color rgb="FF000000"/>
      </rPr>
      <t>10:00 공기업 (심영섭_대면)</t>
    </r>
    <r>
      <rPr>
        <rFont val="Arial"/>
        <color rgb="FFFF0000"/>
      </rPr>
      <t>*</t>
    </r>
  </si>
  <si>
    <t>12:00 서류면접 (한 나)</t>
  </si>
  <si>
    <r>
      <rPr>
        <rFont val="Arial"/>
        <color rgb="FF000000"/>
      </rPr>
      <t>10:30 서류면접(김지현_대면)</t>
    </r>
    <r>
      <rPr>
        <rFont val="Arial"/>
        <color rgb="FFFF0000"/>
        <sz val="12.0"/>
      </rPr>
      <t>*</t>
    </r>
  </si>
  <si>
    <r>
      <rPr>
        <rFont val="Arial"/>
        <color rgb="FF000000"/>
      </rPr>
      <t>11:00 서류면접 (심영섭_대면)</t>
    </r>
    <r>
      <rPr>
        <rFont val="Arial"/>
        <color rgb="FFFF0000"/>
      </rPr>
      <t>*</t>
    </r>
  </si>
  <si>
    <r>
      <rPr>
        <rFont val="Arial"/>
        <color rgb="FF000000"/>
      </rPr>
      <t>12:00 서류면접 (심영섭_대면)</t>
    </r>
    <r>
      <rPr>
        <rFont val="Arial"/>
        <color rgb="FFFF0000"/>
      </rPr>
      <t>*</t>
    </r>
  </si>
  <si>
    <r>
      <rPr>
        <rFont val="Calibri"/>
        <color rgb="FF000000"/>
        <sz val="11.0"/>
      </rPr>
      <t>11:00 서류면접 (범하나_대면)</t>
    </r>
    <r>
      <rPr>
        <rFont val="Calibri"/>
        <color rgb="FFFF0000"/>
        <sz val="11.0"/>
      </rPr>
      <t>*</t>
    </r>
  </si>
  <si>
    <r>
      <rPr>
        <rFont val="Arial"/>
        <color rgb="FF000000"/>
      </rPr>
      <t>12:30 서류면접(김지현_대면)</t>
    </r>
    <r>
      <rPr>
        <rFont val="Arial"/>
        <color rgb="FFFF0000"/>
        <sz val="12.0"/>
      </rPr>
      <t>*</t>
    </r>
  </si>
  <si>
    <t xml:space="preserve">점심 </t>
  </si>
  <si>
    <r>
      <rPr>
        <rFont val="Calibri"/>
        <color rgb="FF000000"/>
        <sz val="11.0"/>
      </rPr>
      <t>12:00 서류면접 (범하나_대면)</t>
    </r>
    <r>
      <rPr>
        <rFont val="Calibri"/>
        <color rgb="FFFF0000"/>
        <sz val="11.0"/>
      </rPr>
      <t>*</t>
    </r>
  </si>
  <si>
    <r>
      <rPr>
        <rFont val="Arial"/>
        <color rgb="FF000000"/>
      </rPr>
      <t>14:00 서류면접 (심영섭_대면)</t>
    </r>
    <r>
      <rPr>
        <rFont val="Arial"/>
        <color rgb="FFFF0000"/>
      </rPr>
      <t>*</t>
    </r>
  </si>
  <si>
    <r>
      <rPr>
        <rFont val="Calibri"/>
        <color rgb="FF000000"/>
        <sz val="11.0"/>
      </rPr>
      <t>13:00 서류면접 (범하나_대면)</t>
    </r>
    <r>
      <rPr>
        <rFont val="Calibri"/>
        <color rgb="FFFF0000"/>
        <sz val="11.0"/>
      </rPr>
      <t>*</t>
    </r>
  </si>
  <si>
    <r>
      <rPr>
        <rFont val="Arial"/>
        <color rgb="FF000000"/>
      </rPr>
      <t>14:00 서류면접(김지현_대면)</t>
    </r>
    <r>
      <rPr>
        <rFont val="Arial"/>
        <color rgb="FFFF0000"/>
        <sz val="12.0"/>
      </rPr>
      <t>*</t>
    </r>
  </si>
  <si>
    <r>
      <rPr>
        <rFont val="Arial"/>
        <color rgb="FF000000"/>
      </rPr>
      <t>15:00 서류면접 (심영섭_대면)</t>
    </r>
    <r>
      <rPr>
        <rFont val="Arial"/>
        <color rgb="FFFF0000"/>
      </rPr>
      <t>*</t>
    </r>
  </si>
  <si>
    <r>
      <rPr>
        <rFont val="Calibri"/>
        <color rgb="FF000000"/>
        <sz val="11.0"/>
      </rPr>
      <t>14:00 서류면접 (범하나_대면)</t>
    </r>
    <r>
      <rPr>
        <rFont val="Calibri"/>
        <color rgb="FFFF0000"/>
        <sz val="11.0"/>
      </rPr>
      <t>*</t>
    </r>
  </si>
  <si>
    <r>
      <rPr>
        <rFont val="Arial"/>
        <color rgb="FF000000"/>
      </rPr>
      <t>15:00 서류면접(김지현_대면)</t>
    </r>
    <r>
      <rPr>
        <rFont val="Arial"/>
        <color rgb="FFFF0000"/>
        <sz val="12.0"/>
      </rPr>
      <t>*</t>
    </r>
  </si>
  <si>
    <r>
      <rPr>
        <rFont val="Arial"/>
        <color rgb="FF000000"/>
      </rPr>
      <t>16:00 서류면접 (심영섭_대면)</t>
    </r>
    <r>
      <rPr>
        <rFont val="Arial"/>
        <color rgb="FFFF0000"/>
      </rPr>
      <t>*</t>
    </r>
  </si>
  <si>
    <t>16:00 서류면접(김지현)</t>
  </si>
  <si>
    <r>
      <rPr>
        <rFont val="Arial"/>
        <color rgb="FF000000"/>
      </rPr>
      <t>13:00 서류면접(강 진_대면)</t>
    </r>
    <r>
      <rPr>
        <rFont val="Arial"/>
        <color rgb="FFFF0000"/>
      </rPr>
      <t>*</t>
    </r>
  </si>
  <si>
    <r>
      <rPr>
        <rFont val="Arial"/>
        <color rgb="FF000000"/>
      </rPr>
      <t xml:space="preserve">11:30 </t>
    </r>
    <r>
      <rPr>
        <rFont val="Calibri"/>
        <color rgb="FF000000"/>
      </rPr>
      <t>서류면접</t>
    </r>
    <r>
      <rPr>
        <rFont val="Arial"/>
        <color rgb="FF000000"/>
      </rPr>
      <t xml:space="preserve"> </t>
    </r>
    <r>
      <rPr>
        <rFont val="Arial"/>
        <color rgb="FFFF00FF"/>
      </rPr>
      <t>(</t>
    </r>
    <r>
      <rPr>
        <rFont val="Calibri"/>
        <color rgb="FFFF00FF"/>
      </rPr>
      <t>이희영</t>
    </r>
    <r>
      <rPr>
        <rFont val="Arial"/>
        <color rgb="FFFF00FF"/>
      </rPr>
      <t>)</t>
    </r>
  </si>
  <si>
    <t>14:00 서류면접 (강 진)</t>
  </si>
  <si>
    <r>
      <rPr>
        <rFont val="Arial"/>
        <color rgb="FF000000"/>
      </rPr>
      <t xml:space="preserve">12:30 </t>
    </r>
    <r>
      <rPr>
        <rFont val="Calibri"/>
        <color rgb="FF000000"/>
      </rPr>
      <t>서류면접</t>
    </r>
    <r>
      <rPr>
        <rFont val="Arial"/>
        <color rgb="FFFF00FF"/>
      </rPr>
      <t xml:space="preserve"> (이희영</t>
    </r>
    <r>
      <rPr>
        <rFont val="Calibri"/>
        <color rgb="FFFF00FF"/>
      </rPr>
      <t>)</t>
    </r>
  </si>
  <si>
    <r>
      <rPr>
        <rFont val="Arial"/>
        <color rgb="FF000000"/>
      </rPr>
      <t>15:00 서류면접 (강 진_대면)</t>
    </r>
    <r>
      <rPr>
        <rFont val="Arial"/>
        <color rgb="FFFF0000"/>
      </rPr>
      <t>*</t>
    </r>
  </si>
  <si>
    <r>
      <rPr>
        <rFont val="Arial"/>
        <color rgb="FF000000"/>
      </rPr>
      <t xml:space="preserve">13:30 </t>
    </r>
    <r>
      <rPr>
        <rFont val="Calibri"/>
        <color rgb="FF000000"/>
      </rPr>
      <t>서류면접</t>
    </r>
    <r>
      <rPr>
        <rFont val="Arial"/>
        <color rgb="FF000000"/>
      </rPr>
      <t xml:space="preserve"> </t>
    </r>
    <r>
      <rPr>
        <rFont val="Arial"/>
        <color rgb="FFFF00FF"/>
      </rPr>
      <t>(이희영</t>
    </r>
    <r>
      <rPr>
        <rFont val="Calibri"/>
        <color rgb="FFFF00FF"/>
      </rPr>
      <t>)</t>
    </r>
  </si>
  <si>
    <t>16:00 서류면접 (강 진)</t>
  </si>
  <si>
    <r>
      <rPr>
        <rFont val="Arial"/>
        <color rgb="FF000000"/>
      </rPr>
      <t>10:00 이공계(정지선_대면)</t>
    </r>
    <r>
      <rPr>
        <rFont val="Arial"/>
        <color rgb="FFFF0000"/>
      </rPr>
      <t>*</t>
    </r>
  </si>
  <si>
    <r>
      <rPr>
        <rFont val="Arial"/>
        <color rgb="FFFF00FF"/>
      </rPr>
      <t>17:00</t>
    </r>
    <r>
      <rPr>
        <rFont val="Arial"/>
        <color rgb="FF000000"/>
      </rPr>
      <t xml:space="preserve"> 공기업 (김선화)</t>
    </r>
  </si>
  <si>
    <r>
      <rPr>
        <rFont val="Arial"/>
        <color rgb="FF000000"/>
      </rPr>
      <t>12:00 이공계(정지선_대면)</t>
    </r>
    <r>
      <rPr>
        <rFont val="Arial"/>
        <color rgb="FFFF0000"/>
        <sz val="12.0"/>
      </rPr>
      <t>*</t>
    </r>
  </si>
  <si>
    <t>12:00서류면접(신민이)</t>
  </si>
  <si>
    <t>12:00 서류면접(김세희)</t>
  </si>
  <si>
    <r>
      <rPr>
        <rFont val="Arial"/>
        <color rgb="FF000000"/>
      </rPr>
      <t>10:00 공기업 (심영섭_대면)</t>
    </r>
    <r>
      <rPr>
        <rFont val="Arial"/>
        <color rgb="FFFF0000"/>
      </rPr>
      <t>*</t>
    </r>
  </si>
  <si>
    <r>
      <rPr>
        <rFont val="Arial"/>
        <color rgb="FF000000"/>
      </rPr>
      <t>11:00 서류면접 (심영섭_대면)</t>
    </r>
    <r>
      <rPr>
        <rFont val="Arial"/>
        <color rgb="FFFF0000"/>
      </rPr>
      <t>*</t>
    </r>
  </si>
  <si>
    <r>
      <rPr>
        <rFont val="Arial"/>
        <color rgb="FF000000"/>
      </rPr>
      <t>10:30 서류면접(김지현_대면)</t>
    </r>
    <r>
      <rPr>
        <rFont val="Arial"/>
        <color rgb="FFFF0000"/>
        <sz val="12.0"/>
      </rPr>
      <t>*</t>
    </r>
  </si>
  <si>
    <r>
      <rPr>
        <rFont val="Arial"/>
        <color rgb="FF000000"/>
      </rPr>
      <t>12:00 서류면접 (심영섭_대면)</t>
    </r>
    <r>
      <rPr>
        <rFont val="Arial"/>
        <color rgb="FFFF0000"/>
      </rPr>
      <t>*</t>
    </r>
  </si>
  <si>
    <r>
      <rPr>
        <rFont val="Calibri"/>
        <color rgb="FF000000"/>
        <sz val="11.0"/>
      </rPr>
      <t>11:00 서류면접 (범하나_대면)</t>
    </r>
    <r>
      <rPr>
        <rFont val="Calibri"/>
        <color rgb="FFFF0000"/>
        <sz val="11.0"/>
      </rPr>
      <t>*</t>
    </r>
  </si>
  <si>
    <r>
      <rPr>
        <rFont val="Arial"/>
        <color rgb="FF000000"/>
      </rPr>
      <t>11:30 서류면접(김지현_대면)</t>
    </r>
    <r>
      <rPr>
        <rFont val="Arial"/>
        <color rgb="FFFF0000"/>
        <sz val="12.0"/>
      </rPr>
      <t>*</t>
    </r>
  </si>
  <si>
    <r>
      <rPr>
        <rFont val="Calibri"/>
        <color rgb="FF000000"/>
        <sz val="11.0"/>
      </rPr>
      <t>12:00 서류면접 (범하나_대면)</t>
    </r>
    <r>
      <rPr>
        <rFont val="Calibri"/>
        <color rgb="FFFF0000"/>
        <sz val="11.0"/>
      </rPr>
      <t>*</t>
    </r>
  </si>
  <si>
    <r>
      <rPr>
        <rFont val="Arial"/>
        <color rgb="FF000000"/>
      </rPr>
      <t>12:30 서류면접(김지현_대면)</t>
    </r>
    <r>
      <rPr>
        <rFont val="Arial"/>
        <color rgb="FFFF0000"/>
        <sz val="12.0"/>
      </rPr>
      <t>*</t>
    </r>
  </si>
  <si>
    <r>
      <rPr>
        <rFont val="Calibri"/>
        <color rgb="FF000000"/>
        <sz val="11.0"/>
      </rPr>
      <t>13:00 서류면접 (범하나_대면)</t>
    </r>
    <r>
      <rPr>
        <rFont val="Calibri"/>
        <color rgb="FFFF0000"/>
        <sz val="11.0"/>
      </rPr>
      <t>*</t>
    </r>
  </si>
  <si>
    <r>
      <rPr>
        <rFont val="Calibri"/>
        <color rgb="FF000000"/>
        <sz val="11.0"/>
      </rPr>
      <t>14:00 서류면접 (범하나_대면)</t>
    </r>
    <r>
      <rPr>
        <rFont val="Calibri"/>
        <color rgb="FFFF0000"/>
        <sz val="11.0"/>
      </rPr>
      <t>*</t>
    </r>
  </si>
  <si>
    <t>10:30 서류면접(이상환)</t>
  </si>
  <si>
    <r>
      <rPr>
        <rFont val="Arial"/>
        <color rgb="FF000000"/>
      </rPr>
      <t xml:space="preserve">12:30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김민경)</t>
    </r>
  </si>
  <si>
    <t>11:30 서류면접(이상환)</t>
  </si>
  <si>
    <r>
      <rPr>
        <rFont val="Arial"/>
        <color rgb="FF000000"/>
      </rPr>
      <t xml:space="preserve">13:30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김민경)</t>
    </r>
  </si>
  <si>
    <r>
      <rPr>
        <rFont val="Arial"/>
        <color rgb="FF000000"/>
      </rPr>
      <t>13:00 서류면접(강 진_대면)</t>
    </r>
    <r>
      <rPr>
        <rFont val="Arial"/>
        <color rgb="FFFF0000"/>
      </rPr>
      <t>*</t>
    </r>
  </si>
  <si>
    <r>
      <rPr>
        <rFont val="Arial"/>
        <color rgb="FF000000"/>
      </rPr>
      <t>14:00 서류면접 (강 진_대면)</t>
    </r>
    <r>
      <rPr>
        <rFont val="Arial"/>
        <color rgb="FFFF0000"/>
      </rPr>
      <t>*</t>
    </r>
  </si>
  <si>
    <r>
      <rPr>
        <rFont val="Arial"/>
        <color rgb="FF000000"/>
      </rPr>
      <t>15:00 서류면접 (강 진_대면)</t>
    </r>
    <r>
      <rPr>
        <rFont val="Arial"/>
        <color rgb="FFFF0000"/>
      </rPr>
      <t>*</t>
    </r>
  </si>
  <si>
    <t>18:00 서류면접 (김선화)</t>
  </si>
  <si>
    <r>
      <rPr>
        <rFont val="Arial"/>
        <color theme="1"/>
      </rPr>
      <t xml:space="preserve">10:00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</si>
  <si>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rgb="FF000000"/>
      </rPr>
      <t xml:space="preserve">11:00 </t>
    </r>
    <r>
      <rPr>
        <rFont val="Calibri"/>
        <color rgb="FF000000"/>
      </rPr>
      <t>진로개발</t>
    </r>
    <r>
      <rPr>
        <rFont val="Arial"/>
        <color rgb="FF000000"/>
      </rPr>
      <t>(</t>
    </r>
    <r>
      <rPr>
        <rFont val="Calibri"/>
        <color rgb="FF000000"/>
      </rPr>
      <t>신민이</t>
    </r>
    <r>
      <rPr>
        <rFont val="Arial"/>
        <color rgb="FF000000"/>
      </rPr>
      <t>)</t>
    </r>
  </si>
  <si>
    <r>
      <rPr>
        <rFont val="Arial"/>
        <color rgb="FF000000"/>
      </rPr>
      <t xml:space="preserve">12:00 </t>
    </r>
    <r>
      <rPr>
        <rFont val="Calibri"/>
        <color rgb="FF000000"/>
      </rPr>
      <t>진로개발</t>
    </r>
    <r>
      <rPr>
        <rFont val="Arial"/>
        <color rgb="FF000000"/>
      </rPr>
      <t>(</t>
    </r>
    <r>
      <rPr>
        <rFont val="Calibri"/>
        <color rgb="FF000000"/>
      </rPr>
      <t>신민이</t>
    </r>
    <r>
      <rPr>
        <rFont val="Arial"/>
        <color rgb="FF000000"/>
      </rPr>
      <t>)</t>
    </r>
  </si>
  <si>
    <r>
      <rPr>
        <rFont val="Arial"/>
        <color rgb="FF000000"/>
      </rPr>
      <t>10:00 공기업 (심영섭_대면)</t>
    </r>
    <r>
      <rPr>
        <rFont val="Arial"/>
        <color rgb="FFFF0000"/>
      </rPr>
      <t>*</t>
    </r>
  </si>
  <si>
    <r>
      <rPr>
        <rFont val="Arial"/>
        <color rgb="FF000000"/>
      </rPr>
      <t>11:00 서류면접 (심영섭_대면)</t>
    </r>
    <r>
      <rPr>
        <rFont val="Arial"/>
        <color rgb="FFFF0000"/>
      </rPr>
      <t>*</t>
    </r>
  </si>
  <si>
    <r>
      <rPr>
        <rFont val="Arial"/>
        <color rgb="FF000000"/>
      </rPr>
      <t>10:00 서류면접(김지현_대면)</t>
    </r>
    <r>
      <rPr>
        <rFont val="Arial"/>
        <color rgb="FFFF0000"/>
        <sz val="12.0"/>
      </rPr>
      <t>*</t>
    </r>
  </si>
  <si>
    <r>
      <rPr>
        <rFont val="Arial"/>
        <color rgb="FF000000"/>
      </rPr>
      <t>12:00 서류면접 (심영섭_대면)</t>
    </r>
    <r>
      <rPr>
        <rFont val="Arial"/>
        <color rgb="FFFF0000"/>
      </rPr>
      <t>*</t>
    </r>
  </si>
  <si>
    <r>
      <rPr>
        <rFont val="Calibri"/>
        <color rgb="FF000000"/>
        <sz val="11.0"/>
      </rPr>
      <t>11:00 서류면접 (범하나_대면)</t>
    </r>
    <r>
      <rPr>
        <rFont val="Calibri"/>
        <color rgb="FFFF0000"/>
        <sz val="11.0"/>
      </rPr>
      <t>*</t>
    </r>
  </si>
  <si>
    <r>
      <rPr>
        <rFont val="Arial"/>
        <color rgb="FF000000"/>
      </rPr>
      <t>11:00 서류면접(김지현_대면)</t>
    </r>
    <r>
      <rPr>
        <rFont val="Arial"/>
        <color rgb="FFFF0000"/>
        <sz val="12.0"/>
      </rPr>
      <t>*</t>
    </r>
  </si>
  <si>
    <r>
      <rPr>
        <rFont val="Calibri"/>
        <color rgb="FF000000"/>
        <sz val="11.0"/>
      </rPr>
      <t>12:00 서류면접 (범하나_대면)</t>
    </r>
    <r>
      <rPr>
        <rFont val="Calibri"/>
        <color rgb="FFFF0000"/>
        <sz val="11.0"/>
      </rPr>
      <t>*</t>
    </r>
  </si>
  <si>
    <r>
      <rPr>
        <rFont val="Calibri"/>
        <color rgb="FF000000"/>
        <sz val="11.0"/>
      </rPr>
      <t>13:00 진로개발 (범하나_대면)</t>
    </r>
    <r>
      <rPr>
        <rFont val="Calibri"/>
        <color rgb="FFFF0000"/>
        <sz val="11.0"/>
      </rPr>
      <t>*</t>
    </r>
  </si>
  <si>
    <r>
      <rPr>
        <rFont val="Arial"/>
        <color rgb="FF000000"/>
      </rPr>
      <t xml:space="preserve">11:30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</t>
    </r>
    <r>
      <rPr>
        <rFont val="Arial"/>
        <color rgb="FF000000"/>
      </rPr>
      <t>)</t>
    </r>
  </si>
  <si>
    <r>
      <rPr>
        <rFont val="Arial"/>
        <color rgb="FF000000"/>
      </rPr>
      <t xml:space="preserve">12:30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김민경)</t>
    </r>
  </si>
  <si>
    <r>
      <rPr>
        <rFont val="Arial"/>
        <color rgb="FF000000"/>
      </rPr>
      <t xml:space="preserve">13:30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김민경)</t>
    </r>
  </si>
  <si>
    <r>
      <rPr>
        <rFont val="Arial"/>
        <color rgb="FF000000"/>
      </rPr>
      <t>13:00 서류면접(강 진_대면)</t>
    </r>
    <r>
      <rPr>
        <rFont val="Arial"/>
        <color rgb="FFFF0000"/>
      </rPr>
      <t>*</t>
    </r>
  </si>
  <si>
    <r>
      <rPr>
        <rFont val="Arial"/>
        <color rgb="FF000000"/>
      </rPr>
      <t>14:00 서류면접 (강 진_대면)</t>
    </r>
    <r>
      <rPr>
        <rFont val="Arial"/>
        <color rgb="FFFF0000"/>
      </rPr>
      <t>*</t>
    </r>
  </si>
  <si>
    <r>
      <rPr>
        <rFont val="Arial"/>
        <color rgb="FF000000"/>
      </rPr>
      <t>15:00 서류면접 (강 진_대면)</t>
    </r>
    <r>
      <rPr>
        <rFont val="Arial"/>
        <color rgb="FFFF0000"/>
      </rPr>
      <t>*</t>
    </r>
  </si>
  <si>
    <r>
      <rPr>
        <rFont val="Arial"/>
        <color rgb="FF000000"/>
      </rPr>
      <t>10:00 이공계(정지선_대면)</t>
    </r>
    <r>
      <rPr>
        <rFont val="Arial"/>
        <color rgb="FFFF0000"/>
      </rPr>
      <t>*</t>
    </r>
  </si>
  <si>
    <r>
      <rPr>
        <rFont val="Arial"/>
        <color rgb="FFFF00FF"/>
      </rPr>
      <t>11:00 서류면접(정지선</t>
    </r>
    <r>
      <rPr>
        <rFont val="Arial"/>
        <color rgb="FFFF00FF"/>
        <sz val="12.0"/>
      </rPr>
      <t>)</t>
    </r>
  </si>
  <si>
    <r>
      <rPr>
        <rFont val="Arial"/>
        <color rgb="FF000000"/>
      </rPr>
      <t>12:00 이공계(정지선_대면)</t>
    </r>
    <r>
      <rPr>
        <rFont val="Arial"/>
        <color rgb="FFFF0000"/>
        <sz val="12.0"/>
      </rPr>
      <t>*</t>
    </r>
  </si>
  <si>
    <r>
      <rPr>
        <rFont val="Arial"/>
        <color rgb="FF000000"/>
      </rPr>
      <t>10:00 공기업 (심영섭_대면)</t>
    </r>
    <r>
      <rPr>
        <rFont val="Arial"/>
        <color rgb="FFFF0000"/>
      </rPr>
      <t>*</t>
    </r>
  </si>
  <si>
    <r>
      <rPr>
        <rFont val="Arial"/>
        <color rgb="FF000000"/>
      </rPr>
      <t>11:00 서류면접 (심영섭_대면)</t>
    </r>
    <r>
      <rPr>
        <rFont val="Arial"/>
        <color rgb="FFFF0000"/>
      </rPr>
      <t>*</t>
    </r>
  </si>
  <si>
    <r>
      <rPr>
        <rFont val="Arial"/>
        <color rgb="FF000000"/>
      </rPr>
      <t>10:00 서류면접 (심영섭_대면)</t>
    </r>
    <r>
      <rPr>
        <rFont val="Arial"/>
        <color rgb="FFFF0000"/>
      </rPr>
      <t>*</t>
    </r>
  </si>
  <si>
    <r>
      <rPr>
        <rFont val="Arial"/>
        <color rgb="FF000000"/>
      </rPr>
      <t>10:30 서류면접(김지현_대면)</t>
    </r>
    <r>
      <rPr>
        <rFont val="Arial"/>
        <color rgb="FFFF0000"/>
        <sz val="12.0"/>
      </rPr>
      <t>*</t>
    </r>
  </si>
  <si>
    <r>
      <rPr>
        <rFont val="Arial"/>
        <color rgb="FF000000"/>
      </rPr>
      <t>12:00 서류면접 (심영섭_대면)</t>
    </r>
    <r>
      <rPr>
        <rFont val="Arial"/>
        <color rgb="FFFF0000"/>
      </rPr>
      <t>*</t>
    </r>
  </si>
  <si>
    <r>
      <rPr>
        <rFont val="Calibri"/>
        <color rgb="FF000000"/>
        <sz val="11.0"/>
      </rPr>
      <t>11:00 서류면접 (범하나_대면)</t>
    </r>
    <r>
      <rPr>
        <rFont val="Calibri"/>
        <color rgb="FFFF0000"/>
        <sz val="11.0"/>
      </rPr>
      <t>*</t>
    </r>
  </si>
  <si>
    <r>
      <rPr>
        <rFont val="Arial"/>
        <color rgb="FF000000"/>
      </rPr>
      <t>11:00 서류면접 (심영섭_대면)</t>
    </r>
    <r>
      <rPr>
        <rFont val="Arial"/>
        <color rgb="FFFF0000"/>
      </rPr>
      <t>*</t>
    </r>
  </si>
  <si>
    <r>
      <rPr>
        <rFont val="Arial"/>
        <color rgb="FF000000"/>
      </rPr>
      <t>11:30 서류면접(김지현_대면)</t>
    </r>
    <r>
      <rPr>
        <rFont val="Arial"/>
        <color rgb="FFFF0000"/>
        <sz val="12.0"/>
      </rPr>
      <t>*</t>
    </r>
  </si>
  <si>
    <r>
      <rPr>
        <rFont val="Calibri"/>
        <color rgb="FF000000"/>
        <sz val="11.0"/>
      </rPr>
      <t>12:00 서류면접 (범하나_대면)</t>
    </r>
    <r>
      <rPr>
        <rFont val="Calibri"/>
        <color rgb="FFFF0000"/>
        <sz val="11.0"/>
      </rPr>
      <t>*</t>
    </r>
  </si>
  <si>
    <r>
      <rPr>
        <rFont val="Arial"/>
        <color rgb="FF000000"/>
      </rPr>
      <t>12:00 서류면접 (심영섭_대면)</t>
    </r>
    <r>
      <rPr>
        <rFont val="Arial"/>
        <color rgb="FFFF0000"/>
      </rPr>
      <t>*</t>
    </r>
  </si>
  <si>
    <r>
      <rPr>
        <rFont val="Arial"/>
        <color rgb="FF000000"/>
      </rPr>
      <t>12:30 서류면접(김지현_대면)</t>
    </r>
    <r>
      <rPr>
        <rFont val="Arial"/>
        <color rgb="FFFF0000"/>
        <sz val="12.0"/>
      </rPr>
      <t>*</t>
    </r>
  </si>
  <si>
    <r>
      <rPr>
        <rFont val="Calibri"/>
        <color rgb="FF000000"/>
        <sz val="11.0"/>
      </rPr>
      <t>13:00 서류면접 (범하나_대면)</t>
    </r>
    <r>
      <rPr>
        <rFont val="Calibri"/>
        <color rgb="FFFF0000"/>
        <sz val="11.0"/>
      </rPr>
      <t>*</t>
    </r>
  </si>
  <si>
    <r>
      <rPr>
        <rFont val="Arial"/>
        <color rgb="FF000000"/>
      </rPr>
      <t xml:space="preserve">11:30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</t>
    </r>
    <r>
      <rPr>
        <rFont val="Arial"/>
        <color rgb="FF000000"/>
      </rPr>
      <t>)</t>
    </r>
  </si>
  <si>
    <r>
      <rPr>
        <rFont val="Arial"/>
        <color rgb="FF000000"/>
      </rPr>
      <t xml:space="preserve">10:00 </t>
    </r>
    <r>
      <rPr>
        <rFont val="Calibri"/>
        <color rgb="FF000000"/>
      </rPr>
      <t>진로개발</t>
    </r>
    <r>
      <rPr>
        <rFont val="Arial"/>
        <color rgb="FF000000"/>
      </rPr>
      <t>(</t>
    </r>
    <r>
      <rPr>
        <rFont val="Calibri"/>
        <color rgb="FF000000"/>
      </rPr>
      <t>신민이</t>
    </r>
    <r>
      <rPr>
        <rFont val="Arial"/>
        <color rgb="FF000000"/>
      </rPr>
      <t>)</t>
    </r>
  </si>
  <si>
    <r>
      <rPr>
        <rFont val="Arial"/>
        <color rgb="FF000000"/>
      </rPr>
      <t xml:space="preserve">12:30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김민경)</t>
    </r>
  </si>
  <si>
    <r>
      <rPr>
        <rFont val="Arial"/>
        <color rgb="FF000000"/>
      </rPr>
      <t xml:space="preserve">11:00 </t>
    </r>
    <r>
      <rPr>
        <rFont val="Calibri"/>
        <color rgb="FF000000"/>
      </rPr>
      <t>진로개발</t>
    </r>
    <r>
      <rPr>
        <rFont val="Arial"/>
        <color rgb="FF000000"/>
      </rPr>
      <t>(</t>
    </r>
    <r>
      <rPr>
        <rFont val="Calibri"/>
        <color rgb="FF000000"/>
      </rPr>
      <t>신민이</t>
    </r>
    <r>
      <rPr>
        <rFont val="Arial"/>
        <color rgb="FF000000"/>
      </rPr>
      <t>)</t>
    </r>
  </si>
  <si>
    <r>
      <rPr>
        <rFont val="Arial"/>
        <color rgb="FF000000"/>
      </rPr>
      <t xml:space="preserve">13:30 </t>
    </r>
    <r>
      <rPr>
        <rFont val="Calibri"/>
        <color rgb="FF000000"/>
      </rPr>
      <t>서류면접</t>
    </r>
    <r>
      <rPr>
        <rFont val="Arial"/>
        <color rgb="FF000000"/>
      </rPr>
      <t xml:space="preserve"> (</t>
    </r>
    <r>
      <rPr>
        <rFont val="Calibri"/>
        <color rgb="FF000000"/>
      </rPr>
      <t>김민경)</t>
    </r>
  </si>
  <si>
    <t>12:00진로개발(신민이)</t>
  </si>
  <si>
    <r>
      <rPr>
        <rFont val="Arial"/>
        <color rgb="FF000000"/>
      </rPr>
      <t>13:00 서류면접(</t>
    </r>
    <r>
      <rPr>
        <rFont val="Arial"/>
        <color rgb="FFFF00FF"/>
      </rPr>
      <t>심영섭</t>
    </r>
    <r>
      <rPr>
        <rFont val="Arial"/>
        <color rgb="FF000000"/>
      </rPr>
      <t>_대면)</t>
    </r>
    <r>
      <rPr>
        <rFont val="Arial"/>
        <color rgb="FFFF0000"/>
      </rPr>
      <t>*</t>
    </r>
  </si>
  <si>
    <r>
      <rPr>
        <rFont val="Arial"/>
        <color rgb="FF000000"/>
      </rPr>
      <t>14:00 서류면접 (</t>
    </r>
    <r>
      <rPr>
        <rFont val="Arial"/>
        <color rgb="FFFF00FF"/>
      </rPr>
      <t>심영섭</t>
    </r>
    <r>
      <rPr>
        <rFont val="Arial"/>
        <color rgb="FF000000"/>
      </rPr>
      <t>_대면)</t>
    </r>
    <r>
      <rPr>
        <rFont val="Arial"/>
        <color rgb="FFFF0000"/>
      </rPr>
      <t>*</t>
    </r>
  </si>
  <si>
    <r>
      <rPr>
        <rFont val="Arial"/>
        <color rgb="FF000000"/>
      </rPr>
      <t>15:00 서류면접 (</t>
    </r>
    <r>
      <rPr>
        <rFont val="Arial"/>
        <color rgb="FFFF00FF"/>
      </rPr>
      <t>심영섭</t>
    </r>
    <r>
      <rPr>
        <rFont val="Arial"/>
        <color rgb="FF000000"/>
      </rPr>
      <t>_대면)</t>
    </r>
    <r>
      <rPr>
        <rFont val="Arial"/>
        <color rgb="FFFF0000"/>
      </rPr>
      <t>*</t>
    </r>
  </si>
  <si>
    <r>
      <rPr>
        <rFont val="Arial"/>
        <color rgb="FF000000"/>
      </rPr>
      <t xml:space="preserve">10:00 </t>
    </r>
    <r>
      <rPr>
        <rFont val="Calibri"/>
        <color rgb="FF000000"/>
      </rPr>
      <t>진로개발</t>
    </r>
    <r>
      <rPr>
        <rFont val="Arial"/>
        <color rgb="FF000000"/>
      </rPr>
      <t>(</t>
    </r>
    <r>
      <rPr>
        <rFont val="Calibri"/>
        <color rgb="FF000000"/>
      </rPr>
      <t>신민이</t>
    </r>
    <r>
      <rPr>
        <rFont val="Arial"/>
        <color rgb="FF000000"/>
      </rPr>
      <t>)</t>
    </r>
  </si>
  <si>
    <r>
      <rPr>
        <rFont val="Arial"/>
        <color rgb="FF000000"/>
      </rPr>
      <t>11:00 이공계(정지선_대면)</t>
    </r>
    <r>
      <rPr>
        <rFont val="Arial"/>
        <color rgb="FFFF0000"/>
        <sz val="12.0"/>
      </rPr>
      <t>*</t>
    </r>
  </si>
  <si>
    <r>
      <rPr>
        <rFont val="Arial"/>
        <color rgb="FF000000"/>
      </rPr>
      <t xml:space="preserve">11:00 </t>
    </r>
    <r>
      <rPr>
        <rFont val="Calibri"/>
        <color rgb="FF000000"/>
      </rPr>
      <t>진로개발</t>
    </r>
    <r>
      <rPr>
        <rFont val="Arial"/>
        <color rgb="FF000000"/>
      </rPr>
      <t>(</t>
    </r>
    <r>
      <rPr>
        <rFont val="Calibri"/>
        <color rgb="FF000000"/>
      </rPr>
      <t>신민이</t>
    </r>
    <r>
      <rPr>
        <rFont val="Arial"/>
        <color rgb="FF000000"/>
      </rPr>
      <t>)</t>
    </r>
  </si>
  <si>
    <r>
      <rPr>
        <rFont val="Arial"/>
        <color rgb="FF000000"/>
      </rPr>
      <t>12:00 이공계(정지선_대면)</t>
    </r>
    <r>
      <rPr>
        <rFont val="Arial"/>
        <color rgb="FFFF0000"/>
        <sz val="12.0"/>
      </rPr>
      <t>*</t>
    </r>
  </si>
  <si>
    <r>
      <rPr>
        <rFont val="Arial"/>
        <color rgb="FFFF00FF"/>
      </rPr>
      <t>10:00 서류면접 (심영섭_대면)</t>
    </r>
    <r>
      <rPr>
        <rFont val="Arial"/>
        <color rgb="FFFF00FF"/>
      </rPr>
      <t>*</t>
    </r>
  </si>
  <si>
    <r>
      <rPr>
        <rFont val="Arial"/>
        <color rgb="FF000000"/>
      </rPr>
      <t>11:00 서류면접 (심영섭_대면)</t>
    </r>
    <r>
      <rPr>
        <rFont val="Arial"/>
        <color rgb="FFFF0000"/>
      </rPr>
      <t>*</t>
    </r>
  </si>
  <si>
    <r>
      <rPr>
        <rFont val="Arial"/>
        <color rgb="FF000000"/>
      </rPr>
      <t>10:00 서류면접(김지현_대면)</t>
    </r>
    <r>
      <rPr>
        <rFont val="Arial"/>
        <color rgb="FFFF0000"/>
        <sz val="12.0"/>
      </rPr>
      <t>*</t>
    </r>
  </si>
  <si>
    <r>
      <rPr>
        <rFont val="Arial"/>
        <color rgb="FF000000"/>
      </rPr>
      <t>12:00 서류면접 (심영섭_대면)</t>
    </r>
    <r>
      <rPr>
        <rFont val="Arial"/>
        <color rgb="FFFF0000"/>
      </rPr>
      <t>*</t>
    </r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</si>
  <si>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</si>
  <si>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</si>
  <si>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</si>
  <si>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</si>
  <si>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</si>
  <si>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t>진로취업</t>
  </si>
  <si>
    <t>여름집중휴가기간</t>
  </si>
  <si>
    <t>10:00 진로취업 (한 나)</t>
  </si>
  <si>
    <t>10:30 진로취업 (범하나)</t>
  </si>
  <si>
    <t>11:00 진로취업 (한 나)</t>
  </si>
  <si>
    <t>11:30 진로취업 (범하나)</t>
  </si>
  <si>
    <t>10:30 서류면접 (김선화)</t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</si>
  <si>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</si>
  <si>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t>11:30 서류면접 (김선화)</t>
  </si>
  <si>
    <t>9:30 서류면접 (이희영)</t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</si>
  <si>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</si>
  <si>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</si>
  <si>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t>10:10 서류면접(강 진)</t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</si>
  <si>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</si>
  <si>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t>11:10 서류면접(강 진)</t>
  </si>
  <si>
    <t>10:00 외국계(지명선)</t>
  </si>
  <si>
    <t>11:00 외국계(지명선)</t>
  </si>
  <si>
    <t>10:00 서류면접 (김지현)</t>
  </si>
  <si>
    <t>11:00 서류면접 (김지현)</t>
  </si>
  <si>
    <t>광복절</t>
  </si>
  <si>
    <t>11:00 공기업 (심영섭)</t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</si>
  <si>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심영섭)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</si>
  <si>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</si>
  <si>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</si>
  <si>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</si>
  <si>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</si>
  <si>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</si>
  <si>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심영섭)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</si>
  <si>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심영섭)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</si>
  <si>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심영섭)</t>
    </r>
  </si>
  <si>
    <t>컨설턴트간담회(14시예정)</t>
  </si>
  <si>
    <t>학위 수여식</t>
  </si>
  <si>
    <t>10:30 서류면접 (범하나)</t>
  </si>
  <si>
    <r>
      <rPr>
        <rFont val="Arial"/>
        <b/>
        <color rgb="FF9900FF"/>
        <sz val="10.0"/>
      </rPr>
      <t xml:space="preserve">12:00 </t>
    </r>
    <r>
      <rPr>
        <rFont val="Calibri"/>
        <b/>
        <color rgb="FF9900FF"/>
        <sz val="10.0"/>
      </rPr>
      <t>서류면접</t>
    </r>
    <r>
      <rPr>
        <rFont val="Arial"/>
        <b/>
        <color rgb="FF9900FF"/>
        <sz val="10.0"/>
      </rPr>
      <t xml:space="preserve"> (</t>
    </r>
    <r>
      <rPr>
        <rFont val="Calibri"/>
        <b/>
        <color rgb="FF9900FF"/>
        <sz val="10.0"/>
      </rPr>
      <t>심영섭)</t>
    </r>
  </si>
  <si>
    <t>11:30 서류면접 (범하나)</t>
  </si>
  <si>
    <r>
      <rPr>
        <rFont val="Arial"/>
        <b/>
        <color rgb="FF9900FF"/>
        <sz val="10.0"/>
      </rPr>
      <t xml:space="preserve">13:00 </t>
    </r>
    <r>
      <rPr>
        <rFont val="Calibri"/>
        <b/>
        <color rgb="FF9900FF"/>
        <sz val="10.0"/>
      </rPr>
      <t>서류면접</t>
    </r>
    <r>
      <rPr>
        <rFont val="Arial"/>
        <b/>
        <color rgb="FF9900FF"/>
        <sz val="10.0"/>
      </rPr>
      <t xml:space="preserve"> (</t>
    </r>
    <r>
      <rPr>
        <rFont val="Calibri"/>
        <b/>
        <color rgb="FF9900FF"/>
        <sz val="10.0"/>
      </rPr>
      <t>심영섭)</t>
    </r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</si>
  <si>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</si>
  <si>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</si>
  <si>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</si>
  <si>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</si>
  <si>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</si>
  <si>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심영섭)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</si>
  <si>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</si>
  <si>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</si>
  <si>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t>11:00 진로취업 (김민경)</t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</si>
  <si>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</si>
  <si>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</si>
  <si>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13:00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</si>
  <si>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t>11:00 진로취업(정지선)</t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</si>
  <si>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심영섭)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</si>
  <si>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</si>
  <si>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</si>
  <si>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</si>
  <si>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</si>
  <si>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</si>
  <si>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</si>
  <si>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13:00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</si>
  <si>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</si>
  <si>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</si>
  <si>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</si>
  <si>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</si>
  <si>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</si>
  <si>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t>현충일</t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</si>
  <si>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심영섭)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</si>
  <si>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</si>
  <si>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</si>
  <si>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</si>
  <si>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</si>
  <si>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t>11:00 서류면접 (김민경)</t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</si>
  <si>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</si>
  <si>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</si>
  <si>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13:00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</si>
  <si>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t>15:00 외국계(지명선)</t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</si>
  <si>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심영섭)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</si>
  <si>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</si>
  <si>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</si>
  <si>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</si>
  <si>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</si>
  <si>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</si>
  <si>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</si>
  <si>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13:00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</si>
  <si>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</si>
  <si>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</si>
  <si>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</si>
  <si>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</si>
  <si>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</si>
  <si>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</si>
  <si>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</si>
  <si>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t>근로자의 날</t>
  </si>
  <si>
    <t>9:00 이공계(김세희)</t>
  </si>
  <si>
    <t>9:30 서류면접 (강 진)</t>
  </si>
  <si>
    <t>10:30 서류면접 (강 진)</t>
  </si>
  <si>
    <t>11:00 임원면접(양우석)</t>
  </si>
  <si>
    <t>어린이날/부처님 오신 날</t>
  </si>
  <si>
    <t>어린이날/부처님 오신 날 대체공휴일</t>
  </si>
  <si>
    <t>취업MC ONE-DAY(예정)</t>
  </si>
  <si>
    <r>
      <rPr>
        <rFont val="Arial"/>
        <color theme="1"/>
        <sz val="10.0"/>
      </rPr>
      <t>10:30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</si>
  <si>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11:30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</si>
  <si>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12:30 서류면접 (범하나_대면)</t>
    </r>
    <r>
      <rPr>
        <rFont val="Arial"/>
        <color rgb="FFFF0000"/>
        <sz val="10.0"/>
      </rPr>
      <t>*</t>
    </r>
  </si>
  <si>
    <t>10:30 공기업 (김선화)</t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</si>
  <si>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</si>
  <si>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</si>
  <si>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13:00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</si>
  <si>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t>12:00 외국계(지명선)</t>
  </si>
  <si>
    <r>
      <rPr>
        <rFont val="Arial"/>
        <color theme="1"/>
        <sz val="10.0"/>
      </rPr>
      <t>10:00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</si>
  <si>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11:00 공기업 (심영섭_대면)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</si>
  <si>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10:30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</si>
  <si>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11:00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</si>
  <si>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심영섭)</t>
    </r>
  </si>
  <si>
    <r>
      <rPr>
        <rFont val="Arial"/>
        <color theme="1"/>
        <sz val="10.0"/>
      </rPr>
      <t>11:30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</si>
  <si>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12:00 서류면접(정지선_대면)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</si>
  <si>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</si>
  <si>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12:30 서류면접 (범하나_대면)</t>
    </r>
    <r>
      <rPr>
        <rFont val="Arial"/>
        <color rgb="FFFF0000"/>
        <sz val="10.0"/>
      </rPr>
      <t>*</t>
    </r>
  </si>
  <si>
    <t>9:00 공기업 (김선화)</t>
  </si>
  <si>
    <t>9:00 서류면접 (이희영)</t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</si>
  <si>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</si>
  <si>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t>10:00 서류면접 (이희영)</t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</si>
  <si>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</si>
  <si>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</si>
  <si>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</si>
  <si>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t>9:30 서류면접(정지선)</t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</si>
  <si>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</si>
  <si>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t>10:30 서류면접(정지선)</t>
  </si>
  <si>
    <r>
      <rPr>
        <rFont val="Arial"/>
        <color rgb="FF000000"/>
        <sz val="10.0"/>
      </rPr>
      <t>10:10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</si>
  <si>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</si>
  <si>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11:10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</si>
  <si>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13:00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</si>
  <si>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t>11:30 서류면접 (이상환)</t>
  </si>
  <si>
    <r>
      <rPr>
        <rFont val="Arial"/>
        <color rgb="FF000000"/>
        <sz val="10.0"/>
      </rPr>
      <t>12:10 서류면접(강 진_대면)</t>
    </r>
    <r>
      <rPr>
        <rFont val="Arial"/>
        <color rgb="FFFF0000"/>
        <sz val="12.0"/>
      </rPr>
      <t>*</t>
    </r>
  </si>
  <si>
    <t>12:00 서류면접 (김지현)</t>
  </si>
  <si>
    <t>11:00 서류면접(양우석)</t>
  </si>
  <si>
    <r>
      <rPr>
        <rFont val="Arial"/>
        <color theme="1"/>
        <sz val="10.0"/>
      </rPr>
      <t>10:00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</si>
  <si>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11:00 공기업 (심영섭)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</si>
  <si>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10:30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</si>
  <si>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11:00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</si>
  <si>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</si>
  <si>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11:30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</si>
  <si>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12:00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</si>
  <si>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</si>
  <si>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12:30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</si>
  <si>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</si>
  <si>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</si>
  <si>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</si>
  <si>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</si>
  <si>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</si>
  <si>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10:10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</si>
  <si>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</si>
  <si>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11:10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</si>
  <si>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13:00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</si>
  <si>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12:10 서류면접(강 진_대면)</t>
    </r>
    <r>
      <rPr>
        <rFont val="Arial"/>
        <color rgb="FFFF0000"/>
        <sz val="12.0"/>
      </rPr>
      <t>*</t>
    </r>
  </si>
  <si>
    <t>개교기념일 대체휴일</t>
  </si>
  <si>
    <t>개교기념일</t>
  </si>
  <si>
    <r>
      <rPr>
        <rFont val="Arial"/>
        <color theme="1"/>
        <sz val="10.0"/>
      </rPr>
      <t>10:00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</si>
  <si>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11:00 서류면접 (심영섭_대면)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</si>
  <si>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10:30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</si>
  <si>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11:00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</si>
  <si>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</si>
  <si>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11:30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</si>
  <si>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12:00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</si>
  <si>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</si>
  <si>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12:30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</si>
  <si>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</si>
  <si>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</si>
  <si>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</si>
  <si>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</si>
  <si>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</si>
  <si>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t>15:00 서류면접(이상환)</t>
  </si>
  <si>
    <r>
      <rPr>
        <rFont val="Arial"/>
        <color rgb="FF000000"/>
        <sz val="10.0"/>
      </rPr>
      <t>10:10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</si>
  <si>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</si>
  <si>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11:10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</si>
  <si>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13:00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</si>
  <si>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12:10 서류면접(강 진_대면)</t>
    </r>
    <r>
      <rPr>
        <rFont val="Arial"/>
        <color rgb="FFFF0000"/>
        <sz val="12.0"/>
      </rPr>
      <t>*</t>
    </r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</si>
  <si>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</si>
  <si>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</si>
  <si>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</si>
  <si>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</si>
  <si>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</si>
  <si>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r>
      <rPr>
        <rFont val="Arial"/>
        <color theme="1"/>
        <sz val="10.0"/>
      </rPr>
      <t>11:00 공기업 (심영섭_대면)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</si>
  <si>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10:30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</si>
  <si>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</si>
  <si>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11:30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</si>
  <si>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</si>
  <si>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12:30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</si>
  <si>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</si>
  <si>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t>10:30 진로취업 (이희영)</t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</si>
  <si>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</si>
  <si>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</si>
  <si>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</si>
  <si>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13:00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</si>
  <si>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10:00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</si>
  <si>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</si>
  <si>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10:30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</si>
  <si>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11:00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</si>
  <si>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</si>
  <si>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11:30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</si>
  <si>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12:00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</si>
  <si>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</si>
  <si>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12:30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</si>
  <si>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</si>
  <si>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</si>
  <si>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</si>
  <si>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</si>
  <si>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</si>
  <si>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10:10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</si>
  <si>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</si>
  <si>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11:10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</si>
  <si>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13:00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</si>
  <si>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12:10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</si>
  <si>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10:00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</si>
  <si>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11:00 공기업 (심영섭_대면)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</si>
  <si>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10:30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</si>
  <si>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11:00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</si>
  <si>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</si>
  <si>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11:30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</si>
  <si>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12:00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</si>
  <si>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</si>
  <si>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12:30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</si>
  <si>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</si>
  <si>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</si>
  <si>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</si>
  <si>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</si>
  <si>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</si>
  <si>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10:10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</si>
  <si>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</si>
  <si>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11:10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</si>
  <si>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13:00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</si>
  <si>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12:10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</si>
  <si>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10:00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</si>
  <si>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11:00 공기업 (심영섭_대면)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</si>
  <si>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11:00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</si>
  <si>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</si>
  <si>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12:00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</si>
  <si>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</si>
  <si>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</si>
  <si>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</si>
  <si>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</si>
  <si>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</si>
  <si>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</si>
  <si>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</si>
  <si>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</si>
  <si>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</si>
  <si>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</si>
  <si>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t>삼일절</t>
  </si>
  <si>
    <t>대체공휴일</t>
  </si>
  <si>
    <r>
      <rPr>
        <rFont val="Arial"/>
        <color theme="1"/>
        <sz val="10.0"/>
      </rPr>
      <t>11:00 공기업 (심영섭_대면)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</si>
  <si>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10:30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</si>
  <si>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</si>
  <si>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11:30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</si>
  <si>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</si>
  <si>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12:30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</si>
  <si>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 xml:space="preserve">15:00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</si>
  <si>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13:30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</si>
  <si>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</si>
  <si>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</si>
  <si>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</si>
  <si>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10:00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</si>
  <si>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</si>
  <si>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11:00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</si>
  <si>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13:00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</si>
  <si>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t>12:00 공기업 (심영섭)</t>
  </si>
  <si>
    <r>
      <rPr>
        <rFont val="Arial"/>
        <color theme="1"/>
        <sz val="10.0"/>
      </rPr>
      <t>12:00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</si>
  <si>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13:00 이공계(정지선_대면)</t>
    </r>
    <r>
      <rPr>
        <rFont val="Arial"/>
        <color rgb="FFFF0000"/>
        <sz val="12.0"/>
      </rPr>
      <t>*</t>
    </r>
  </si>
  <si>
    <t>9:30 이공계(정지선)</t>
  </si>
  <si>
    <t>10:30 이공계(정지선)</t>
  </si>
  <si>
    <t>11:30 이공계(정지선)</t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</si>
  <si>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</si>
  <si>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10:30 서류면접 (범하나_대면)</t>
    </r>
    <r>
      <rPr>
        <rFont val="Arial"/>
        <color rgb="FFFF0000"/>
        <sz val="10.0"/>
      </rPr>
      <t>*</t>
    </r>
  </si>
  <si>
    <t>9:00 서류면접(김세희)</t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</si>
  <si>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</si>
  <si>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11:30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</si>
  <si>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</si>
  <si>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12:30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</si>
  <si>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 xml:space="preserve">15:00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</si>
  <si>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t>13:00 서류면접 (한 나)</t>
  </si>
  <si>
    <r>
      <rPr>
        <rFont val="Arial"/>
        <color theme="1"/>
        <sz val="10.0"/>
      </rPr>
      <t>13:30 서류면접 (범하나_대면)</t>
    </r>
    <r>
      <rPr>
        <rFont val="Arial"/>
        <color rgb="FFFF0000"/>
        <sz val="10.0"/>
      </rPr>
      <t>*</t>
    </r>
  </si>
  <si>
    <r>
      <rPr>
        <rFont val="Arial"/>
        <b/>
        <color theme="1"/>
        <sz val="10.0"/>
      </rPr>
      <t>14:30 서류면접 (범하나_대면)</t>
    </r>
    <r>
      <rPr>
        <rFont val="Arial"/>
        <b/>
        <color rgb="FFFF0000"/>
        <sz val="10.0"/>
      </rPr>
      <t>*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</si>
  <si>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</si>
  <si>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t>9:30 서류면접 (김선화)</t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</si>
  <si>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</si>
  <si>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</si>
  <si>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16:00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</si>
  <si>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</si>
  <si>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t>11:30 서류면접 (강 진)</t>
  </si>
  <si>
    <t>12:30 서류면접 (김선화)</t>
  </si>
  <si>
    <t>12:30 서류면접 (강 진)</t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</si>
  <si>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</si>
  <si>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10:10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</si>
  <si>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</si>
  <si>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t>9:10 서류면접 (심영섭)</t>
  </si>
  <si>
    <r>
      <rPr>
        <rFont val="Arial"/>
        <color rgb="FF000000"/>
        <sz val="10.0"/>
      </rPr>
      <t>11:10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</si>
  <si>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13:00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</si>
  <si>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t>10:00 진로취업 (심영섭)</t>
  </si>
  <si>
    <r>
      <rPr>
        <rFont val="Arial"/>
        <color rgb="FF000000"/>
        <sz val="10.0"/>
      </rPr>
      <t>12:10 서류면접(강 진_대면)</t>
    </r>
    <r>
      <rPr>
        <rFont val="Arial"/>
        <color rgb="FFFF0000"/>
        <sz val="12.0"/>
      </rPr>
      <t>*</t>
    </r>
  </si>
  <si>
    <t>16:50 외국계(성지우)</t>
  </si>
  <si>
    <r>
      <rPr>
        <rFont val="Arial"/>
        <color rgb="FF000000"/>
        <sz val="10.0"/>
      </rPr>
      <t>13:10 서류면접(강 진_대면)</t>
    </r>
    <r>
      <rPr>
        <rFont val="Arial"/>
        <color rgb="FFFF0000"/>
        <sz val="12.0"/>
      </rPr>
      <t>*</t>
    </r>
  </si>
  <si>
    <t>11:00 서류면접 (이희영)</t>
  </si>
  <si>
    <t>12:00 서류면접 (이희영)</t>
  </si>
  <si>
    <r>
      <rPr>
        <rFont val="Arial"/>
        <color theme="1"/>
        <sz val="10.0"/>
      </rPr>
      <t>10:00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</si>
  <si>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</si>
  <si>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10:30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</si>
  <si>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11:00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</si>
  <si>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11:00 공기업 (심영섭_대면)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</si>
  <si>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11:30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</si>
  <si>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12:00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</si>
  <si>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</si>
  <si>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12:30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</si>
  <si>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13:00 서류면접(정지선_대면)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</si>
  <si>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</si>
  <si>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13:30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</si>
  <si>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 xml:space="preserve">15:00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</si>
  <si>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</si>
  <si>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</si>
  <si>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</si>
  <si>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</si>
  <si>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</si>
  <si>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</si>
  <si>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10:10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</si>
  <si>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</si>
  <si>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11:10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</si>
  <si>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13:00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</si>
  <si>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12:10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</si>
  <si>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</si>
  <si>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13:10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</si>
  <si>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10:00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</si>
  <si>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</si>
  <si>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10:30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</si>
  <si>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11:00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</si>
  <si>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</si>
  <si>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11:30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</si>
  <si>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12:00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</si>
  <si>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14:00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</si>
  <si>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12:30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</si>
  <si>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>13:00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</si>
  <si>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15:00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심영섭_대면</t>
    </r>
    <r>
      <rPr>
        <rFont val="Arial"/>
        <color theme="1"/>
        <sz val="10.0"/>
      </rPr>
      <t>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</si>
  <si>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13:30 서류면접 (범하나_대면)</t>
    </r>
    <r>
      <rPr>
        <rFont val="Arial"/>
        <color rgb="FFFF0000"/>
        <sz val="10.0"/>
      </rPr>
      <t>*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</si>
  <si>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</si>
  <si>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</si>
  <si>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</si>
  <si>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서류면접</t>
    </r>
    <r>
      <rPr>
        <rFont val="Arial"/>
        <color theme="1"/>
        <sz val="10.0"/>
      </rPr>
      <t xml:space="preserve"> (</t>
    </r>
    <r>
      <rPr>
        <rFont val="Calibri"/>
        <color theme="1"/>
        <sz val="10.0"/>
      </rPr>
      <t>김민경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</si>
  <si>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</si>
  <si>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10:10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</si>
  <si>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12:00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</si>
  <si>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11:10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</si>
  <si>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13:00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김나영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</si>
  <si>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12:10 서류면접(강 진_대면)</t>
    </r>
    <r>
      <rPr>
        <rFont val="Arial"/>
        <color rgb="FFFF0000"/>
        <sz val="12.0"/>
      </rPr>
      <t>*</t>
    </r>
  </si>
  <si>
    <r>
      <rPr>
        <rFont val="Arial"/>
        <color rgb="FF000000"/>
        <sz val="10.0"/>
      </rPr>
      <t>13:10 서류면접(강 진_대면)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</si>
  <si>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10:00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</si>
  <si>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11:00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</si>
  <si>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>12:00 이공계(정지선_대면)</t>
    </r>
    <r>
      <rPr>
        <rFont val="Arial"/>
        <color rgb="FFFF0000"/>
        <sz val="12.0"/>
      </rPr>
      <t>*</t>
    </r>
  </si>
  <si>
    <r>
      <rPr>
        <rFont val="Arial"/>
        <color theme="1"/>
        <sz val="10.0"/>
      </rPr>
      <t xml:space="preserve">10:00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</si>
  <si>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11:00 </t>
    </r>
    <r>
      <rPr>
        <rFont val="Calibri"/>
        <color theme="1"/>
        <sz val="10.0"/>
      </rPr>
      <t>진로취업</t>
    </r>
    <r>
      <rPr>
        <rFont val="Arial"/>
        <color theme="1"/>
        <sz val="10.0"/>
      </rPr>
      <t>(</t>
    </r>
    <r>
      <rPr>
        <rFont val="Calibri"/>
        <color theme="1"/>
        <sz val="10.0"/>
      </rPr>
      <t>신민이</t>
    </r>
    <r>
      <rPr>
        <rFont val="Arial"/>
        <color theme="1"/>
        <sz val="10.0"/>
      </rPr>
      <t>)</t>
    </r>
  </si>
  <si>
    <r>
      <rPr>
        <rFont val="Arial"/>
        <color rgb="FF000000"/>
        <sz val="10.0"/>
      </rPr>
      <t>10:10 서류면접(강 진_대면)</t>
    </r>
    <r>
      <rPr>
        <rFont val="Arial"/>
        <color rgb="FFFF0000"/>
        <sz val="12.0"/>
      </rPr>
      <t>*</t>
    </r>
  </si>
  <si>
    <r>
      <rPr>
        <rFont val="Arial"/>
        <color rgb="FF000000"/>
        <sz val="10.0"/>
      </rPr>
      <t>11:10 서류면접(강 진_대면)</t>
    </r>
    <r>
      <rPr>
        <rFont val="Arial"/>
        <color rgb="FFFF0000"/>
        <sz val="12.0"/>
      </rPr>
      <t>*</t>
    </r>
  </si>
  <si>
    <r>
      <rPr>
        <rFont val="Arial"/>
        <color rgb="FF000000"/>
        <sz val="10.0"/>
      </rPr>
      <t>12:10 서류면접(강 진_대면)</t>
    </r>
    <r>
      <rPr>
        <rFont val="Arial"/>
        <color rgb="FFFF0000"/>
        <sz val="12.0"/>
      </rPr>
      <t>*</t>
    </r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</si>
  <si>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</si>
  <si>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</si>
  <si>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</si>
  <si>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</si>
  <si>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</si>
  <si>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t>연초</t>
  </si>
  <si>
    <t>10:30 진로개발(김지현)</t>
  </si>
  <si>
    <t>11:30 진로개발(김지현)</t>
  </si>
  <si>
    <r>
      <rPr>
        <rFont val="Arial"/>
        <color theme="1"/>
      </rPr>
      <t xml:space="preserve">10:00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</si>
  <si>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</si>
  <si>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t>12:00 서류면접 (김선화)</t>
  </si>
  <si>
    <r>
      <rPr>
        <rFont val="Arial"/>
        <color rgb="FF000000"/>
      </rPr>
      <t xml:space="preserve">11:30 </t>
    </r>
    <r>
      <rPr>
        <rFont val="Calibri"/>
        <color rgb="FF000000"/>
      </rPr>
      <t>진로개발</t>
    </r>
    <r>
      <rPr>
        <rFont val="Arial"/>
        <color rgb="FF000000"/>
      </rPr>
      <t xml:space="preserve"> (</t>
    </r>
    <r>
      <rPr>
        <rFont val="Calibri"/>
        <color rgb="FF000000"/>
      </rPr>
      <t>김민경</t>
    </r>
    <r>
      <rPr>
        <rFont val="Arial"/>
        <color rgb="FF000000"/>
      </rPr>
      <t>)</t>
    </r>
  </si>
  <si>
    <r>
      <rPr>
        <rFont val="Arial"/>
        <color rgb="FF000000"/>
      </rPr>
      <t xml:space="preserve">12:30 </t>
    </r>
    <r>
      <rPr>
        <rFont val="Calibri"/>
        <color rgb="FF000000"/>
      </rPr>
      <t>진로개발</t>
    </r>
    <r>
      <rPr>
        <rFont val="Arial"/>
        <color rgb="FF000000"/>
      </rPr>
      <t xml:space="preserve"> (</t>
    </r>
    <r>
      <rPr>
        <rFont val="Calibri"/>
        <color rgb="FF000000"/>
      </rPr>
      <t>김민경)</t>
    </r>
  </si>
  <si>
    <t>13:00 진로개발 (범하나)</t>
  </si>
  <si>
    <t>14:00 서류면접(장신혜)</t>
  </si>
  <si>
    <t>12:00 서류면접(강 진)</t>
  </si>
  <si>
    <r>
      <rPr>
        <rFont val="Arial"/>
        <color rgb="FF000000"/>
      </rPr>
      <t xml:space="preserve">10:00 </t>
    </r>
    <r>
      <rPr>
        <rFont val="Calibri"/>
        <color rgb="FF000000"/>
      </rPr>
      <t>진로개발</t>
    </r>
    <r>
      <rPr>
        <rFont val="Arial"/>
        <color rgb="FF000000"/>
      </rPr>
      <t>(</t>
    </r>
    <r>
      <rPr>
        <rFont val="Calibri"/>
        <color rgb="FF000000"/>
      </rPr>
      <t>신민이</t>
    </r>
    <r>
      <rPr>
        <rFont val="Arial"/>
        <color rgb="FF000000"/>
      </rPr>
      <t>)</t>
    </r>
  </si>
  <si>
    <r>
      <rPr>
        <rFont val="Arial"/>
        <color rgb="FF000000"/>
      </rPr>
      <t xml:space="preserve">11:00 </t>
    </r>
    <r>
      <rPr>
        <rFont val="Calibri"/>
        <color rgb="FF000000"/>
      </rPr>
      <t>진로개발</t>
    </r>
    <r>
      <rPr>
        <rFont val="Arial"/>
        <color rgb="FF000000"/>
      </rPr>
      <t>(</t>
    </r>
    <r>
      <rPr>
        <rFont val="Calibri"/>
        <color rgb="FF000000"/>
      </rPr>
      <t>신민이</t>
    </r>
    <r>
      <rPr>
        <rFont val="Arial"/>
        <color rgb="FF000000"/>
      </rPr>
      <t>)</t>
    </r>
  </si>
  <si>
    <t>12:00 진로개발(신민이)</t>
  </si>
  <si>
    <t>15:00 서류면접(강 진)</t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</si>
  <si>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</si>
  <si>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</si>
  <si>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</si>
  <si>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</si>
  <si>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</si>
  <si>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r>
      <rPr>
        <rFont val="Arial"/>
        <color theme="1"/>
      </rPr>
      <t xml:space="preserve">10:00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</si>
  <si>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rgb="FF000000"/>
      </rPr>
      <t xml:space="preserve">11:00 </t>
    </r>
    <r>
      <rPr>
        <rFont val="Calibri"/>
        <color rgb="FF000000"/>
      </rPr>
      <t>진로개발</t>
    </r>
    <r>
      <rPr>
        <rFont val="Arial"/>
        <color rgb="FF000000"/>
      </rPr>
      <t>(</t>
    </r>
    <r>
      <rPr>
        <rFont val="Calibri"/>
        <color rgb="FF000000"/>
      </rPr>
      <t>신민이</t>
    </r>
    <r>
      <rPr>
        <rFont val="Arial"/>
        <color rgb="FF000000"/>
      </rPr>
      <t>)</t>
    </r>
  </si>
  <si>
    <t>10:00 진로개발 (범하나)</t>
  </si>
  <si>
    <t>10:00 서류면접(강 진)</t>
  </si>
  <si>
    <t>11:00 서류면접(강 진)</t>
  </si>
  <si>
    <r>
      <rPr>
        <rFont val="Arial"/>
        <color rgb="FF000000"/>
      </rPr>
      <t xml:space="preserve">10:00 </t>
    </r>
    <r>
      <rPr>
        <rFont val="Calibri"/>
        <color rgb="FF000000"/>
      </rPr>
      <t>진로개발</t>
    </r>
    <r>
      <rPr>
        <rFont val="Arial"/>
        <color rgb="FF000000"/>
      </rPr>
      <t>(</t>
    </r>
    <r>
      <rPr>
        <rFont val="Calibri"/>
        <color rgb="FF000000"/>
      </rPr>
      <t>신민이</t>
    </r>
    <r>
      <rPr>
        <rFont val="Arial"/>
        <color rgb="FF000000"/>
      </rPr>
      <t>)</t>
    </r>
  </si>
  <si>
    <r>
      <rPr>
        <rFont val="Arial"/>
        <color rgb="FF000000"/>
      </rPr>
      <t xml:space="preserve">11:00 </t>
    </r>
    <r>
      <rPr>
        <rFont val="Calibri"/>
        <color rgb="FF000000"/>
      </rPr>
      <t>진로개발</t>
    </r>
    <r>
      <rPr>
        <rFont val="Arial"/>
        <color rgb="FF000000"/>
      </rPr>
      <t>(</t>
    </r>
    <r>
      <rPr>
        <rFont val="Calibri"/>
        <color rgb="FF000000"/>
      </rPr>
      <t>신민이</t>
    </r>
    <r>
      <rPr>
        <rFont val="Arial"/>
        <color rgb="FF000000"/>
      </rPr>
      <t>)</t>
    </r>
  </si>
  <si>
    <t>설연휴</t>
  </si>
  <si>
    <t>2025학년도 종료</t>
  </si>
  <si>
    <t>2025학년도 월별  진로·취업컨설팅 현황</t>
  </si>
  <si>
    <t>유형별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</si>
  <si>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</si>
  <si>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</si>
  <si>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</si>
  <si>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</si>
  <si>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</si>
  <si>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</si>
  <si>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</si>
  <si>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</si>
  <si>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</si>
  <si>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</si>
  <si>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1월</t>
  </si>
  <si>
    <t>2월</t>
  </si>
  <si>
    <t>합계</t>
  </si>
  <si>
    <t>컨설턴트별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</si>
</sst>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년 m월"/>
  </numFmts>
  <fonts count="46">
    <font>
      <sz val="11.0"/>
      <color theme="1"/>
      <name val="Calibri"/>
      <scheme val="minor"/>
    </font>
    <font>
      <b/>
      <sz val="35.0"/>
      <color theme="1"/>
      <name val="Arial"/>
    </font>
    <font/>
    <font>
      <b/>
      <sz val="12.0"/>
      <color theme="1"/>
      <name val="Arial"/>
    </font>
    <font>
      <b/>
      <sz val="10.0"/>
      <color theme="1"/>
      <name val="Arial"/>
    </font>
    <font>
      <b/>
      <color theme="1"/>
      <name val="Calibri"/>
      <scheme val="minor"/>
    </font>
    <font>
      <b/>
      <sz val="11.0"/>
      <color rgb="FF000000"/>
      <name val="&quot;맑은 고딕&quot;"/>
    </font>
    <font>
      <color rgb="FF000000"/>
      <name val="Arial"/>
    </font>
    <font>
      <sz val="11.0"/>
      <color rgb="FF000000"/>
      <name val="Arial"/>
    </font>
    <font>
      <color theme="1"/>
      <name val="Arial"/>
    </font>
    <font>
      <sz val="11.0"/>
      <color rgb="FF000000"/>
      <name val="Calibri"/>
    </font>
    <font>
      <color rgb="FFFF00FF"/>
      <name val="Arial"/>
    </font>
    <font>
      <sz val="11.0"/>
      <color theme="1"/>
      <name val="Calibri"/>
    </font>
    <font>
      <b/>
      <sz val="11.0"/>
      <color theme="1"/>
      <name val="Calibri"/>
      <scheme val="minor"/>
    </font>
    <font>
      <color rgb="FF000000"/>
      <name val="Calibri"/>
      <scheme val="minor"/>
    </font>
    <font>
      <sz val="10.0"/>
      <color theme="1"/>
      <name val="Arial"/>
    </font>
    <font>
      <b/>
      <color rgb="FF9900FF"/>
      <name val="Arial"/>
    </font>
    <font>
      <b/>
      <sz val="11.0"/>
      <color rgb="FF9900FF"/>
      <name val="Calibri"/>
    </font>
    <font>
      <color theme="1"/>
      <name val="Calibri"/>
      <scheme val="minor"/>
    </font>
    <font>
      <sz val="10.0"/>
      <color rgb="FF000000"/>
      <name val="Arial"/>
    </font>
    <font>
      <b/>
      <sz val="10.0"/>
      <color rgb="FFFF0000"/>
      <name val="Arial"/>
    </font>
    <font>
      <sz val="11.0"/>
      <color rgb="FFFF00FF"/>
      <name val="Arial"/>
    </font>
    <font>
      <sz val="11.0"/>
      <color theme="1"/>
      <name val="Arial"/>
    </font>
    <font>
      <sz val="11.0"/>
      <color rgb="FFFF0000"/>
      <name val="Arial"/>
    </font>
    <font>
      <b/>
      <sz val="11.0"/>
      <color rgb="FF9900FF"/>
      <name val="Arial"/>
    </font>
    <font>
      <color rgb="FF9900FF"/>
      <name val="Arial"/>
    </font>
    <font>
      <sz val="11.0"/>
      <color rgb="FFFF00FF"/>
      <name val="Calibri"/>
    </font>
    <font>
      <b/>
      <sz val="10.0"/>
      <color rgb="FF000000"/>
      <name val="Arial"/>
    </font>
    <font>
      <color rgb="FFFF0000"/>
      <name val="Arial"/>
    </font>
    <font>
      <strike/>
      <sz val="11.0"/>
      <color rgb="FFFF00FF"/>
      <name val="Arial"/>
    </font>
    <font>
      <sz val="11.0"/>
      <color rgb="FFFF0000"/>
      <name val="Calibri"/>
    </font>
    <font>
      <strike/>
      <sz val="11.0"/>
      <color theme="1"/>
      <name val="Calibri"/>
    </font>
    <font>
      <strike/>
      <sz val="11.0"/>
      <color rgb="FFFF0000"/>
      <name val="Arial"/>
    </font>
    <font>
      <b/>
      <color rgb="FFFF0000"/>
      <name val="Calibri"/>
      <scheme val="minor"/>
    </font>
    <font>
      <strike/>
      <color rgb="FFFF0000"/>
      <name val="Arial"/>
    </font>
    <font>
      <strike/>
      <color theme="1"/>
      <name val="Arial"/>
    </font>
    <font>
      <b/>
      <color theme="1"/>
      <name val="Arial"/>
    </font>
    <font>
      <b/>
      <color rgb="FF000000"/>
      <name val="Arial"/>
    </font>
    <font>
      <strike/>
      <sz val="10.0"/>
      <color theme="1"/>
      <name val="Arial"/>
    </font>
    <font>
      <strike/>
      <color rgb="FF000000"/>
      <name val="Arial"/>
    </font>
    <font>
      <b/>
      <sz val="12.0"/>
      <color theme="1"/>
      <name val="Calibri"/>
    </font>
    <font>
      <sz val="10.0"/>
      <color theme="1"/>
      <name val="Calibri"/>
      <scheme val="minor"/>
    </font>
    <font>
      <b/>
      <sz val="10.0"/>
      <color rgb="FF9900FF"/>
      <name val="Arial"/>
    </font>
    <font>
      <sz val="10.0"/>
      <color rgb="FF9900FF"/>
      <name val="Arial"/>
    </font>
    <font>
      <sz val="10.0"/>
      <color rgb="FFFF0000"/>
      <name val="Arial"/>
    </font>
    <font>
      <b/>
      <sz val="11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E1E1E1"/>
        <bgColor rgb="FFE1E1E1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97E4FF"/>
        <bgColor rgb="FF97E4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1AD28"/>
        <bgColor rgb="FFF1AD28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</fills>
  <borders count="31">
    <border/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</border>
    <border>
      <left style="thin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/>
    </border>
    <border>
      <left style="hair">
        <color rgb="FF000000"/>
      </left>
      <right style="thin">
        <color rgb="FF000000"/>
      </right>
      <top/>
    </border>
    <border>
      <right style="hair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center" wrapText="0"/>
    </xf>
    <xf borderId="1" fillId="0" fontId="1" numFmtId="164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ill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readingOrder="0" vertical="center"/>
    </xf>
    <xf borderId="7" fillId="3" fontId="4" numFmtId="0" xfId="0" applyAlignment="1" applyBorder="1" applyFill="1" applyFont="1">
      <alignment horizontal="left" readingOrder="0" vertical="center"/>
    </xf>
    <xf borderId="8" fillId="3" fontId="4" numFmtId="0" xfId="0" applyAlignment="1" applyBorder="1" applyFont="1">
      <alignment horizontal="left" readingOrder="0" vertical="center"/>
    </xf>
    <xf borderId="8" fillId="0" fontId="4" numFmtId="0" xfId="0" applyAlignment="1" applyBorder="1" applyFont="1">
      <alignment horizontal="left" readingOrder="0" vertical="center"/>
    </xf>
    <xf borderId="9" fillId="0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readingOrder="0" shrinkToFit="0" vertical="center" wrapText="0"/>
    </xf>
    <xf borderId="11" fillId="4" fontId="7" numFmtId="0" xfId="0" applyAlignment="1" applyBorder="1" applyFill="1" applyFont="1">
      <alignment horizontal="left" readingOrder="0" vertical="center"/>
    </xf>
    <xf borderId="11" fillId="5" fontId="7" numFmtId="0" xfId="0" applyAlignment="1" applyBorder="1" applyFill="1" applyFont="1">
      <alignment horizontal="left" vertical="center"/>
    </xf>
    <xf borderId="11" fillId="6" fontId="7" numFmtId="0" xfId="0" applyAlignment="1" applyBorder="1" applyFill="1" applyFont="1">
      <alignment horizontal="left" vertical="center"/>
    </xf>
    <xf borderId="11" fillId="2" fontId="7" numFmtId="0" xfId="0" applyAlignment="1" applyBorder="1" applyFont="1">
      <alignment horizontal="left" readingOrder="0" vertical="center"/>
    </xf>
    <xf borderId="11" fillId="6" fontId="8" numFmtId="0" xfId="0" applyAlignment="1" applyBorder="1" applyFont="1">
      <alignment horizontal="left" readingOrder="0" vertical="center"/>
    </xf>
    <xf borderId="11" fillId="0" fontId="9" numFmtId="0" xfId="0" applyAlignment="1" applyBorder="1" applyFont="1">
      <alignment horizontal="left" vertical="center"/>
    </xf>
    <xf borderId="12" fillId="0" fontId="6" numFmtId="0" xfId="0" applyAlignment="1" applyBorder="1" applyFont="1">
      <alignment horizontal="center" readingOrder="0" shrinkToFit="0" vertical="center" wrapText="0"/>
    </xf>
    <xf borderId="11" fillId="6" fontId="7" numFmtId="0" xfId="0" applyAlignment="1" applyBorder="1" applyFont="1">
      <alignment horizontal="left" readingOrder="0" vertical="center"/>
    </xf>
    <xf borderId="11" fillId="0" fontId="7" numFmtId="0" xfId="0" applyAlignment="1" applyBorder="1" applyFont="1">
      <alignment horizontal="left" vertical="center"/>
    </xf>
    <xf borderId="11" fillId="0" fontId="7" numFmtId="0" xfId="0" applyAlignment="1" applyBorder="1" applyFont="1">
      <alignment horizontal="left" readingOrder="0" vertical="center"/>
    </xf>
    <xf borderId="11" fillId="0" fontId="10" numFmtId="0" xfId="0" applyAlignment="1" applyBorder="1" applyFont="1">
      <alignment horizontal="left" vertical="center"/>
    </xf>
    <xf borderId="11" fillId="0" fontId="8" numFmtId="0" xfId="0" applyAlignment="1" applyBorder="1" applyFont="1">
      <alignment horizontal="left" readingOrder="0" vertical="center"/>
    </xf>
    <xf borderId="11" fillId="0" fontId="9" numFmtId="0" xfId="0" applyAlignment="1" applyBorder="1" applyFont="1">
      <alignment horizontal="left" vertical="center"/>
    </xf>
    <xf borderId="11" fillId="7" fontId="11" numFmtId="0" xfId="0" applyAlignment="1" applyBorder="1" applyFill="1" applyFont="1">
      <alignment horizontal="left" readingOrder="0" vertical="center"/>
    </xf>
    <xf borderId="11" fillId="0" fontId="12" numFmtId="0" xfId="0" applyAlignment="1" applyBorder="1" applyFont="1">
      <alignment horizontal="left" vertical="center"/>
    </xf>
    <xf borderId="11" fillId="2" fontId="11" numFmtId="0" xfId="0" applyAlignment="1" applyBorder="1" applyFont="1">
      <alignment horizontal="left" readingOrder="0" vertical="center"/>
    </xf>
    <xf borderId="0" fillId="0" fontId="10" numFmtId="0" xfId="0" applyAlignment="1" applyFont="1">
      <alignment horizontal="left" vertical="center"/>
    </xf>
    <xf borderId="11" fillId="6" fontId="11" numFmtId="0" xfId="0" applyAlignment="1" applyBorder="1" applyFont="1">
      <alignment horizontal="left" readingOrder="0" vertical="center"/>
    </xf>
    <xf borderId="11" fillId="5" fontId="10" numFmtId="0" xfId="0" applyAlignment="1" applyBorder="1" applyFont="1">
      <alignment horizontal="left" readingOrder="0" vertical="center"/>
    </xf>
    <xf borderId="11" fillId="0" fontId="10" numFmtId="0" xfId="0" applyAlignment="1" applyBorder="1" applyFont="1">
      <alignment horizontal="left" vertical="center"/>
    </xf>
    <xf borderId="9" fillId="0" fontId="13" numFmtId="0" xfId="0" applyAlignment="1" applyBorder="1" applyFont="1">
      <alignment horizontal="center" readingOrder="0" vertical="center"/>
    </xf>
    <xf borderId="11" fillId="0" fontId="10" numFmtId="0" xfId="0" applyAlignment="1" applyBorder="1" applyFont="1">
      <alignment horizontal="left" readingOrder="0" vertical="center"/>
    </xf>
    <xf borderId="11" fillId="0" fontId="7" numFmtId="0" xfId="0" applyAlignment="1" applyBorder="1" applyFont="1">
      <alignment horizontal="left" vertical="center"/>
    </xf>
    <xf borderId="9" fillId="8" fontId="5" numFmtId="0" xfId="0" applyAlignment="1" applyBorder="1" applyFill="1" applyFont="1">
      <alignment horizontal="center" readingOrder="0" vertical="center"/>
    </xf>
    <xf borderId="10" fillId="8" fontId="5" numFmtId="0" xfId="0" applyAlignment="1" applyBorder="1" applyFont="1">
      <alignment horizontal="center" vertical="center"/>
    </xf>
    <xf borderId="11" fillId="9" fontId="10" numFmtId="0" xfId="0" applyAlignment="1" applyBorder="1" applyFill="1" applyFont="1">
      <alignment horizontal="left" readingOrder="0" vertical="center"/>
    </xf>
    <xf borderId="11" fillId="0" fontId="12" numFmtId="0" xfId="0" applyAlignment="1" applyBorder="1" applyFont="1">
      <alignment horizontal="left" readingOrder="0" vertical="center"/>
    </xf>
    <xf borderId="11" fillId="10" fontId="12" numFmtId="0" xfId="0" applyAlignment="1" applyBorder="1" applyFill="1" applyFont="1">
      <alignment horizontal="left" vertical="center"/>
    </xf>
    <xf borderId="13" fillId="0" fontId="10" numFmtId="0" xfId="0" applyAlignment="1" applyBorder="1" applyFont="1">
      <alignment horizontal="left" vertical="center"/>
    </xf>
    <xf borderId="0" fillId="0" fontId="14" numFmtId="0" xfId="0" applyAlignment="1" applyFont="1">
      <alignment vertical="center"/>
    </xf>
    <xf borderId="11" fillId="0" fontId="15" numFmtId="0" xfId="0" applyAlignment="1" applyBorder="1" applyFont="1">
      <alignment horizontal="left" readingOrder="0" vertical="center"/>
    </xf>
    <xf borderId="7" fillId="0" fontId="12" numFmtId="0" xfId="0" applyAlignment="1" applyBorder="1" applyFont="1">
      <alignment vertical="center"/>
    </xf>
    <xf borderId="13" fillId="0" fontId="15" numFmtId="0" xfId="0" applyAlignment="1" applyBorder="1" applyFont="1">
      <alignment horizontal="left" vertical="center"/>
    </xf>
    <xf borderId="11" fillId="3" fontId="15" numFmtId="0" xfId="0" applyAlignment="1" applyBorder="1" applyFont="1">
      <alignment horizontal="left" vertical="center"/>
    </xf>
    <xf borderId="11" fillId="3" fontId="15" numFmtId="0" xfId="0" applyAlignment="1" applyBorder="1" applyFont="1">
      <alignment horizontal="left" readingOrder="0" vertical="center"/>
    </xf>
    <xf borderId="14" fillId="11" fontId="4" numFmtId="0" xfId="0" applyAlignment="1" applyBorder="1" applyFill="1" applyFont="1">
      <alignment horizontal="center" readingOrder="0" vertical="center"/>
    </xf>
    <xf borderId="15" fillId="0" fontId="2" numFmtId="0" xfId="0" applyAlignment="1" applyBorder="1" applyFont="1">
      <alignment vertical="center"/>
    </xf>
    <xf borderId="11" fillId="0" fontId="15" numFmtId="0" xfId="0" applyAlignment="1" applyBorder="1" applyFont="1">
      <alignment horizontal="left" vertical="center"/>
    </xf>
    <xf borderId="11" fillId="6" fontId="16" numFmtId="0" xfId="0" applyAlignment="1" applyBorder="1" applyFont="1">
      <alignment horizontal="left" readingOrder="0" vertical="center"/>
    </xf>
    <xf borderId="7" fillId="0" fontId="17" numFmtId="0" xfId="0" applyAlignment="1" applyBorder="1" applyFont="1">
      <alignment vertical="center"/>
    </xf>
    <xf borderId="10" fillId="8" fontId="5" numFmtId="0" xfId="0" applyAlignment="1" applyBorder="1" applyFont="1">
      <alignment horizontal="center" readingOrder="0" vertical="center"/>
    </xf>
    <xf borderId="11" fillId="3" fontId="15" numFmtId="0" xfId="0" applyAlignment="1" applyBorder="1" applyFont="1">
      <alignment vertical="center"/>
    </xf>
    <xf borderId="13" fillId="0" fontId="18" numFmtId="0" xfId="0" applyAlignment="1" applyBorder="1" applyFont="1">
      <alignment vertical="center"/>
    </xf>
    <xf borderId="13" fillId="0" fontId="15" numFmtId="0" xfId="0" applyAlignment="1" applyBorder="1" applyFont="1">
      <alignment horizontal="left" readingOrder="0" vertical="center"/>
    </xf>
    <xf borderId="11" fillId="3" fontId="19" numFmtId="0" xfId="0" applyAlignment="1" applyBorder="1" applyFont="1">
      <alignment horizontal="left" readingOrder="0" vertical="center"/>
    </xf>
    <xf borderId="11" fillId="0" fontId="19" numFmtId="0" xfId="0" applyAlignment="1" applyBorder="1" applyFont="1">
      <alignment horizontal="left" readingOrder="0" vertical="center"/>
    </xf>
    <xf borderId="11" fillId="0" fontId="19" numFmtId="0" xfId="0" applyAlignment="1" applyBorder="1" applyFont="1">
      <alignment readingOrder="0" vertical="center"/>
    </xf>
    <xf borderId="13" fillId="10" fontId="15" numFmtId="0" xfId="0" applyAlignment="1" applyBorder="1" applyFont="1">
      <alignment horizontal="left" readingOrder="0" vertical="center"/>
    </xf>
    <xf borderId="11" fillId="10" fontId="15" numFmtId="0" xfId="0" applyAlignment="1" applyBorder="1" applyFont="1">
      <alignment horizontal="left" readingOrder="0" vertical="center"/>
    </xf>
    <xf borderId="8" fillId="0" fontId="20" numFmtId="0" xfId="0" applyAlignment="1" applyBorder="1" applyFont="1">
      <alignment horizontal="left" readingOrder="0" vertical="center"/>
    </xf>
    <xf borderId="11" fillId="3" fontId="20" numFmtId="0" xfId="0" applyAlignment="1" applyBorder="1" applyFont="1">
      <alignment horizontal="left" readingOrder="0" vertical="center"/>
    </xf>
    <xf borderId="11" fillId="0" fontId="12" numFmtId="0" xfId="0" applyAlignment="1" applyBorder="1" applyFont="1">
      <alignment horizontal="left" vertical="center"/>
    </xf>
    <xf borderId="11" fillId="9" fontId="21" numFmtId="0" xfId="0" applyAlignment="1" applyBorder="1" applyFont="1">
      <alignment readingOrder="0" vertical="center"/>
    </xf>
    <xf borderId="11" fillId="9" fontId="22" numFmtId="0" xfId="0" applyAlignment="1" applyBorder="1" applyFont="1">
      <alignment readingOrder="0" vertical="center"/>
    </xf>
    <xf borderId="13" fillId="0" fontId="12" numFmtId="0" xfId="0" applyAlignment="1" applyBorder="1" applyFont="1">
      <alignment horizontal="left" vertical="center"/>
    </xf>
    <xf borderId="13" fillId="0" fontId="12" numFmtId="0" xfId="0" applyAlignment="1" applyBorder="1" applyFont="1">
      <alignment horizontal="left" vertical="center"/>
    </xf>
    <xf borderId="11" fillId="0" fontId="9" numFmtId="0" xfId="0" applyAlignment="1" applyBorder="1" applyFont="1">
      <alignment horizontal="left" readingOrder="0" vertical="center"/>
    </xf>
    <xf borderId="16" fillId="11" fontId="4" numFmtId="0" xfId="0" applyAlignment="1" applyBorder="1" applyFont="1">
      <alignment horizontal="center" readingOrder="0" vertical="center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9" fillId="0" fontId="15" numFmtId="0" xfId="0" applyAlignment="1" applyBorder="1" applyFont="1">
      <alignment horizontal="center" vertical="center"/>
    </xf>
    <xf borderId="19" fillId="0" fontId="15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left" readingOrder="0" vertical="center"/>
    </xf>
    <xf borderId="11" fillId="12" fontId="9" numFmtId="0" xfId="0" applyAlignment="1" applyBorder="1" applyFill="1" applyFont="1">
      <alignment horizontal="center" readingOrder="0" vertical="center"/>
    </xf>
    <xf borderId="11" fillId="4" fontId="21" numFmtId="0" xfId="0" applyAlignment="1" applyBorder="1" applyFont="1">
      <alignment horizontal="left" vertical="center"/>
    </xf>
    <xf borderId="11" fillId="4" fontId="21" numFmtId="0" xfId="0" applyAlignment="1" applyBorder="1" applyFont="1">
      <alignment horizontal="left" vertical="center"/>
    </xf>
    <xf borderId="11" fillId="4" fontId="21" numFmtId="0" xfId="0" applyAlignment="1" applyBorder="1" applyFont="1">
      <alignment horizontal="left" readingOrder="0" vertical="center"/>
    </xf>
    <xf borderId="11" fillId="0" fontId="23" numFmtId="0" xfId="0" applyAlignment="1" applyBorder="1" applyFont="1">
      <alignment horizontal="left" readingOrder="0" vertical="center"/>
    </xf>
    <xf borderId="11" fillId="4" fontId="9" numFmtId="0" xfId="0" applyAlignment="1" applyBorder="1" applyFont="1">
      <alignment horizontal="left" vertical="center"/>
    </xf>
    <xf borderId="11" fillId="0" fontId="22" numFmtId="0" xfId="0" applyAlignment="1" applyBorder="1" applyFont="1">
      <alignment horizontal="left" vertical="center"/>
    </xf>
    <xf borderId="11" fillId="6" fontId="24" numFmtId="0" xfId="0" applyAlignment="1" applyBorder="1" applyFont="1">
      <alignment horizontal="left" readingOrder="0" vertical="center"/>
    </xf>
    <xf borderId="11" fillId="13" fontId="8" numFmtId="0" xfId="0" applyAlignment="1" applyBorder="1" applyFill="1" applyFont="1">
      <alignment horizontal="left" readingOrder="0" vertical="center"/>
    </xf>
    <xf borderId="11" fillId="6" fontId="10" numFmtId="0" xfId="0" applyAlignment="1" applyBorder="1" applyFont="1">
      <alignment horizontal="left" readingOrder="0" vertical="center"/>
    </xf>
    <xf borderId="11" fillId="6" fontId="9" numFmtId="0" xfId="0" applyAlignment="1" applyBorder="1" applyFont="1">
      <alignment horizontal="left" vertical="center"/>
    </xf>
    <xf borderId="11" fillId="6" fontId="12" numFmtId="0" xfId="0" applyAlignment="1" applyBorder="1" applyFont="1">
      <alignment horizontal="left" readingOrder="0" vertical="center"/>
    </xf>
    <xf borderId="11" fillId="5" fontId="7" numFmtId="0" xfId="0" applyAlignment="1" applyBorder="1" applyFont="1">
      <alignment horizontal="left" readingOrder="0" vertical="center"/>
    </xf>
    <xf borderId="11" fillId="0" fontId="22" numFmtId="0" xfId="0" applyAlignment="1" applyBorder="1" applyFont="1">
      <alignment horizontal="left" vertical="center"/>
    </xf>
    <xf borderId="11" fillId="5" fontId="25" numFmtId="0" xfId="0" applyAlignment="1" applyBorder="1" applyFont="1">
      <alignment horizontal="left" readingOrder="0" vertical="center"/>
    </xf>
    <xf borderId="11" fillId="14" fontId="8" numFmtId="0" xfId="0" applyAlignment="1" applyBorder="1" applyFill="1" applyFont="1">
      <alignment horizontal="left" readingOrder="0" vertical="center"/>
    </xf>
    <xf borderId="7" fillId="0" fontId="10" numFmtId="0" xfId="0" applyAlignment="1" applyBorder="1" applyFont="1">
      <alignment vertical="center"/>
    </xf>
    <xf borderId="11" fillId="9" fontId="26" numFmtId="0" xfId="0" applyAlignment="1" applyBorder="1" applyFont="1">
      <alignment vertical="center"/>
    </xf>
    <xf borderId="11" fillId="0" fontId="15" numFmtId="0" xfId="0" applyAlignment="1" applyBorder="1" applyFont="1">
      <alignment readingOrder="0" vertical="center"/>
    </xf>
    <xf borderId="19" fillId="0" fontId="19" numFmtId="0" xfId="0" applyAlignment="1" applyBorder="1" applyFont="1">
      <alignment horizontal="left" vertical="center"/>
    </xf>
    <xf borderId="8" fillId="0" fontId="27" numFmtId="0" xfId="0" applyAlignment="1" applyBorder="1" applyFont="1">
      <alignment horizontal="left" readingOrder="0" vertical="center"/>
    </xf>
    <xf borderId="11" fillId="5" fontId="9" numFmtId="0" xfId="0" applyAlignment="1" applyBorder="1" applyFont="1">
      <alignment horizontal="left" vertical="center"/>
    </xf>
    <xf borderId="11" fillId="2" fontId="9" numFmtId="0" xfId="0" applyAlignment="1" applyBorder="1" applyFont="1">
      <alignment horizontal="left" readingOrder="0" vertical="center"/>
    </xf>
    <xf borderId="11" fillId="6" fontId="22" numFmtId="0" xfId="0" applyAlignment="1" applyBorder="1" applyFont="1">
      <alignment horizontal="left" readingOrder="0" vertical="center"/>
    </xf>
    <xf borderId="11" fillId="6" fontId="9" numFmtId="0" xfId="0" applyAlignment="1" applyBorder="1" applyFont="1">
      <alignment horizontal="left" readingOrder="0" vertical="center"/>
    </xf>
    <xf borderId="11" fillId="5" fontId="9" numFmtId="0" xfId="0" applyAlignment="1" applyBorder="1" applyFont="1">
      <alignment horizontal="left" readingOrder="0" vertical="center"/>
    </xf>
    <xf borderId="11" fillId="0" fontId="8" numFmtId="0" xfId="0" applyAlignment="1" applyBorder="1" applyFont="1">
      <alignment horizontal="left" readingOrder="0" vertical="center"/>
    </xf>
    <xf borderId="11" fillId="0" fontId="22" numFmtId="0" xfId="0" applyAlignment="1" applyBorder="1" applyFont="1">
      <alignment horizontal="left" readingOrder="0" vertical="center"/>
    </xf>
    <xf borderId="11" fillId="0" fontId="8" numFmtId="0" xfId="0" applyAlignment="1" applyBorder="1" applyFont="1">
      <alignment horizontal="left" vertical="center"/>
    </xf>
    <xf borderId="0" fillId="0" fontId="22" numFmtId="0" xfId="0" applyAlignment="1" applyFont="1">
      <alignment horizontal="left" vertical="center"/>
    </xf>
    <xf borderId="11" fillId="6" fontId="8" numFmtId="0" xfId="0" applyAlignment="1" applyBorder="1" applyFont="1">
      <alignment horizontal="left" readingOrder="0" vertical="center"/>
    </xf>
    <xf borderId="11" fillId="6" fontId="22" numFmtId="0" xfId="0" applyAlignment="1" applyBorder="1" applyFont="1">
      <alignment horizontal="left" readingOrder="0" vertical="center"/>
    </xf>
    <xf borderId="11" fillId="0" fontId="8" numFmtId="0" xfId="0" applyAlignment="1" applyBorder="1" applyFont="1">
      <alignment horizontal="left" vertical="center"/>
    </xf>
    <xf borderId="11" fillId="10" fontId="22" numFmtId="0" xfId="0" applyAlignment="1" applyBorder="1" applyFont="1">
      <alignment horizontal="left" vertical="center"/>
    </xf>
    <xf borderId="11" fillId="10" fontId="9" numFmtId="0" xfId="0" applyAlignment="1" applyBorder="1" applyFont="1">
      <alignment horizontal="left" vertical="center"/>
    </xf>
    <xf borderId="11" fillId="10" fontId="8" numFmtId="0" xfId="0" applyAlignment="1" applyBorder="1" applyFont="1">
      <alignment horizontal="left" readingOrder="0" vertical="center"/>
    </xf>
    <xf borderId="11" fillId="0" fontId="22" numFmtId="0" xfId="0" applyAlignment="1" applyBorder="1" applyFont="1">
      <alignment horizontal="left" readingOrder="0" vertical="center"/>
    </xf>
    <xf borderId="11" fillId="6" fontId="11" numFmtId="0" xfId="0" applyAlignment="1" applyBorder="1" applyFont="1">
      <alignment horizontal="left" vertical="center"/>
    </xf>
    <xf borderId="11" fillId="0" fontId="22" numFmtId="0" xfId="0" applyAlignment="1" applyBorder="1" applyFont="1">
      <alignment readingOrder="0" vertical="center"/>
    </xf>
    <xf borderId="11" fillId="0" fontId="28" numFmtId="0" xfId="0" applyAlignment="1" applyBorder="1" applyFont="1">
      <alignment horizontal="left" readingOrder="0" vertical="center"/>
    </xf>
    <xf borderId="11" fillId="9" fontId="29" numFmtId="0" xfId="0" applyAlignment="1" applyBorder="1" applyFont="1">
      <alignment readingOrder="0" vertical="center"/>
    </xf>
    <xf borderId="13" fillId="0" fontId="22" numFmtId="0" xfId="0" applyAlignment="1" applyBorder="1" applyFont="1">
      <alignment horizontal="left" vertical="center"/>
    </xf>
    <xf borderId="11" fillId="14" fontId="22" numFmtId="0" xfId="0" applyAlignment="1" applyBorder="1" applyFont="1">
      <alignment horizontal="left" readingOrder="0" vertical="center"/>
    </xf>
    <xf borderId="13" fillId="0" fontId="22" numFmtId="0" xfId="0" applyAlignment="1" applyBorder="1" applyFont="1">
      <alignment horizontal="left" vertical="center"/>
    </xf>
    <xf borderId="20" fillId="0" fontId="27" numFmtId="0" xfId="0" applyAlignment="1" applyBorder="1" applyFont="1">
      <alignment horizontal="left" readingOrder="0" vertical="center"/>
    </xf>
    <xf borderId="11" fillId="4" fontId="9" numFmtId="0" xfId="0" applyAlignment="1" applyBorder="1" applyFont="1">
      <alignment horizontal="left" vertical="center"/>
    </xf>
    <xf borderId="11" fillId="0" fontId="30" numFmtId="0" xfId="0" applyAlignment="1" applyBorder="1" applyFont="1">
      <alignment horizontal="left" readingOrder="0" vertical="center"/>
    </xf>
    <xf borderId="11" fillId="14" fontId="21" numFmtId="0" xfId="0" applyAlignment="1" applyBorder="1" applyFont="1">
      <alignment horizontal="left" readingOrder="0" vertical="center"/>
    </xf>
    <xf borderId="11" fillId="9" fontId="26" numFmtId="0" xfId="0" applyAlignment="1" applyBorder="1" applyFont="1">
      <alignment readingOrder="0" vertical="center"/>
    </xf>
    <xf borderId="11" fillId="4" fontId="9" numFmtId="0" xfId="0" applyAlignment="1" applyBorder="1" applyFont="1">
      <alignment horizontal="left" readingOrder="0" vertical="center"/>
    </xf>
    <xf borderId="11" fillId="11" fontId="7" numFmtId="0" xfId="0" applyAlignment="1" applyBorder="1" applyFont="1">
      <alignment horizontal="left" readingOrder="0" vertical="center"/>
    </xf>
    <xf borderId="11" fillId="4" fontId="11" numFmtId="0" xfId="0" applyAlignment="1" applyBorder="1" applyFont="1">
      <alignment horizontal="left" vertical="center"/>
    </xf>
    <xf borderId="11" fillId="4" fontId="11" numFmtId="0" xfId="0" applyAlignment="1" applyBorder="1" applyFont="1">
      <alignment horizontal="left" vertical="center"/>
    </xf>
    <xf borderId="11" fillId="4" fontId="11" numFmtId="0" xfId="0" applyAlignment="1" applyBorder="1" applyFont="1">
      <alignment horizontal="left" readingOrder="0" vertical="center"/>
    </xf>
    <xf borderId="11" fillId="0" fontId="31" numFmtId="0" xfId="0" applyAlignment="1" applyBorder="1" applyFont="1">
      <alignment horizontal="left" vertical="center"/>
    </xf>
    <xf borderId="0" fillId="0" fontId="12" numFmtId="0" xfId="0" applyAlignment="1" applyFont="1">
      <alignment horizontal="left" vertical="center"/>
    </xf>
    <xf borderId="11" fillId="0" fontId="32" numFmtId="0" xfId="0" applyAlignment="1" applyBorder="1" applyFont="1">
      <alignment horizontal="left" readingOrder="0" vertical="center"/>
    </xf>
    <xf borderId="11" fillId="0" fontId="28" numFmtId="0" xfId="0" applyAlignment="1" applyBorder="1" applyFont="1">
      <alignment horizontal="left" vertical="center"/>
    </xf>
    <xf borderId="11" fillId="5" fontId="11" numFmtId="0" xfId="0" applyAlignment="1" applyBorder="1" applyFont="1">
      <alignment horizontal="left" vertical="center"/>
    </xf>
    <xf borderId="21" fillId="2" fontId="3" numFmtId="0" xfId="0" applyAlignment="1" applyBorder="1" applyFont="1">
      <alignment horizontal="center" vertical="center"/>
    </xf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left" readingOrder="0" vertical="center"/>
    </xf>
    <xf borderId="8" fillId="0" fontId="33" numFmtId="0" xfId="0" applyAlignment="1" applyBorder="1" applyFont="1">
      <alignment horizontal="left" readingOrder="0" vertical="center"/>
    </xf>
    <xf borderId="11" fillId="11" fontId="20" numFmtId="0" xfId="0" applyAlignment="1" applyBorder="1" applyFont="1">
      <alignment horizontal="left" readingOrder="0" vertical="center"/>
    </xf>
    <xf borderId="11" fillId="11" fontId="15" numFmtId="0" xfId="0" applyAlignment="1" applyBorder="1" applyFont="1">
      <alignment horizontal="left" readingOrder="0" vertical="center"/>
    </xf>
    <xf borderId="11" fillId="7" fontId="21" numFmtId="0" xfId="0" applyAlignment="1" applyBorder="1" applyFont="1">
      <alignment horizontal="left" readingOrder="0" vertical="center"/>
    </xf>
    <xf borderId="11" fillId="13" fontId="22" numFmtId="0" xfId="0" applyAlignment="1" applyBorder="1" applyFont="1">
      <alignment horizontal="left" readingOrder="0" vertical="center"/>
    </xf>
    <xf borderId="11" fillId="0" fontId="18" numFmtId="0" xfId="0" applyAlignment="1" applyBorder="1" applyFont="1">
      <alignment vertical="center"/>
    </xf>
    <xf borderId="7" fillId="3" fontId="20" numFmtId="0" xfId="0" applyAlignment="1" applyBorder="1" applyFont="1">
      <alignment horizontal="left" readingOrder="0" vertical="center"/>
    </xf>
    <xf borderId="7" fillId="0" fontId="20" numFmtId="0" xfId="0" applyAlignment="1" applyBorder="1" applyFont="1">
      <alignment horizontal="left" readingOrder="0" vertical="center"/>
    </xf>
    <xf borderId="16" fillId="11" fontId="20" numFmtId="0" xfId="0" applyAlignment="1" applyBorder="1" applyFont="1">
      <alignment horizontal="left" readingOrder="0" vertical="center"/>
    </xf>
    <xf borderId="11" fillId="0" fontId="19" numFmtId="0" xfId="0" applyAlignment="1" applyBorder="1" applyFont="1">
      <alignment horizontal="left" vertical="center"/>
    </xf>
    <xf borderId="11" fillId="0" fontId="15" numFmtId="0" xfId="0" applyAlignment="1" applyBorder="1" applyFont="1">
      <alignment vertical="center"/>
    </xf>
    <xf borderId="11" fillId="4" fontId="34" numFmtId="0" xfId="0" applyAlignment="1" applyBorder="1" applyFont="1">
      <alignment horizontal="left" readingOrder="0" vertical="center"/>
    </xf>
    <xf borderId="11" fillId="0" fontId="35" numFmtId="0" xfId="0" applyAlignment="1" applyBorder="1" applyFont="1">
      <alignment horizontal="left" vertical="center"/>
    </xf>
    <xf borderId="11" fillId="4" fontId="34" numFmtId="0" xfId="0" applyAlignment="1" applyBorder="1" applyFont="1">
      <alignment horizontal="left" vertical="center"/>
    </xf>
    <xf borderId="11" fillId="0" fontId="35" numFmtId="0" xfId="0" applyAlignment="1" applyBorder="1" applyFont="1">
      <alignment horizontal="left" vertical="center"/>
    </xf>
    <xf borderId="11" fillId="6" fontId="32" numFmtId="0" xfId="0" applyAlignment="1" applyBorder="1" applyFont="1">
      <alignment horizontal="left" readingOrder="0" vertical="center"/>
    </xf>
    <xf borderId="11" fillId="0" fontId="31" numFmtId="0" xfId="0" applyAlignment="1" applyBorder="1" applyFont="1">
      <alignment horizontal="left" readingOrder="0" vertical="center"/>
    </xf>
    <xf borderId="11" fillId="5" fontId="26" numFmtId="0" xfId="0" applyAlignment="1" applyBorder="1" applyFont="1">
      <alignment horizontal="left" readingOrder="0" vertical="center"/>
    </xf>
    <xf borderId="11" fillId="6" fontId="34" numFmtId="0" xfId="0" applyAlignment="1" applyBorder="1" applyFont="1">
      <alignment horizontal="left" vertical="center"/>
    </xf>
    <xf borderId="11" fillId="0" fontId="35" numFmtId="0" xfId="0" applyAlignment="1" applyBorder="1" applyFont="1">
      <alignment horizontal="left" readingOrder="0" vertical="center"/>
    </xf>
    <xf borderId="11" fillId="6" fontId="34" numFmtId="0" xfId="0" applyAlignment="1" applyBorder="1" applyFont="1">
      <alignment horizontal="left" readingOrder="0" vertical="center"/>
    </xf>
    <xf borderId="11" fillId="5" fontId="11" numFmtId="0" xfId="0" applyAlignment="1" applyBorder="1" applyFont="1">
      <alignment horizontal="left" readingOrder="0" vertical="center"/>
    </xf>
    <xf borderId="11" fillId="9" fontId="26" numFmtId="0" xfId="0" applyAlignment="1" applyBorder="1" applyFont="1">
      <alignment horizontal="left" readingOrder="0" vertical="center"/>
    </xf>
    <xf borderId="24" fillId="0" fontId="2" numFmtId="0" xfId="0" applyAlignment="1" applyBorder="1" applyFont="1">
      <alignment vertical="center"/>
    </xf>
    <xf borderId="0" fillId="10" fontId="18" numFmtId="0" xfId="0" applyAlignment="1" applyFont="1">
      <alignment vertical="center"/>
    </xf>
    <xf borderId="11" fillId="3" fontId="19" numFmtId="0" xfId="0" applyAlignment="1" applyBorder="1" applyFont="1">
      <alignment horizontal="left" vertical="center"/>
    </xf>
    <xf borderId="7" fillId="10" fontId="36" numFmtId="0" xfId="0" applyAlignment="1" applyBorder="1" applyFont="1">
      <alignment horizontal="left" vertical="center"/>
    </xf>
    <xf borderId="8" fillId="0" fontId="36" numFmtId="0" xfId="0" applyAlignment="1" applyBorder="1" applyFont="1">
      <alignment horizontal="left" vertical="center"/>
    </xf>
    <xf borderId="8" fillId="10" fontId="36" numFmtId="0" xfId="0" applyAlignment="1" applyBorder="1" applyFont="1">
      <alignment horizontal="left" vertical="center"/>
    </xf>
    <xf borderId="11" fillId="4" fontId="7" numFmtId="0" xfId="0" applyAlignment="1" applyBorder="1" applyFont="1">
      <alignment horizontal="left" vertical="center"/>
    </xf>
    <xf borderId="11" fillId="6" fontId="28" numFmtId="0" xfId="0" applyAlignment="1" applyBorder="1" applyFont="1">
      <alignment horizontal="left" readingOrder="0" vertical="center"/>
    </xf>
    <xf borderId="11" fillId="10" fontId="7" numFmtId="0" xfId="0" applyAlignment="1" applyBorder="1" applyFont="1">
      <alignment horizontal="left" vertical="center"/>
    </xf>
    <xf borderId="13" fillId="0" fontId="10" numFmtId="0" xfId="0" applyAlignment="1" applyBorder="1" applyFont="1">
      <alignment horizontal="left" vertical="center"/>
    </xf>
    <xf borderId="8" fillId="3" fontId="27" numFmtId="0" xfId="0" applyAlignment="1" applyBorder="1" applyFont="1">
      <alignment horizontal="left" readingOrder="0" vertical="center"/>
    </xf>
    <xf borderId="11" fillId="4" fontId="28" numFmtId="0" xfId="0" applyAlignment="1" applyBorder="1" applyFont="1">
      <alignment horizontal="left" readingOrder="0" vertical="center"/>
    </xf>
    <xf borderId="11" fillId="0" fontId="11" numFmtId="0" xfId="0" applyAlignment="1" applyBorder="1" applyFont="1">
      <alignment horizontal="left" readingOrder="0" vertical="center"/>
    </xf>
    <xf borderId="11" fillId="7" fontId="7" numFmtId="0" xfId="0" applyAlignment="1" applyBorder="1" applyFont="1">
      <alignment horizontal="left" readingOrder="0" vertical="center"/>
    </xf>
    <xf borderId="11" fillId="0" fontId="19" numFmtId="0" xfId="0" applyAlignment="1" applyBorder="1" applyFont="1">
      <alignment vertical="center"/>
    </xf>
    <xf borderId="11" fillId="0" fontId="37" numFmtId="0" xfId="0" applyAlignment="1" applyBorder="1" applyFont="1">
      <alignment horizontal="left" readingOrder="0" vertical="center"/>
    </xf>
    <xf borderId="13" fillId="0" fontId="14" numFmtId="0" xfId="0" applyAlignment="1" applyBorder="1" applyFont="1">
      <alignment vertical="center"/>
    </xf>
    <xf borderId="11" fillId="9" fontId="19" numFmtId="0" xfId="0" applyAlignment="1" applyBorder="1" applyFont="1">
      <alignment readingOrder="0" vertical="center"/>
    </xf>
    <xf borderId="19" fillId="0" fontId="15" numFmtId="0" xfId="0" applyAlignment="1" applyBorder="1" applyFont="1">
      <alignment horizontal="left" readingOrder="0" vertical="center"/>
    </xf>
    <xf borderId="19" fillId="3" fontId="15" numFmtId="0" xfId="0" applyAlignment="1" applyBorder="1" applyFont="1">
      <alignment horizontal="left" vertical="center"/>
    </xf>
    <xf borderId="7" fillId="0" fontId="27" numFmtId="0" xfId="0" applyAlignment="1" applyBorder="1" applyFont="1">
      <alignment horizontal="left" readingOrder="0" vertical="center"/>
    </xf>
    <xf borderId="11" fillId="0" fontId="38" numFmtId="0" xfId="0" applyAlignment="1" applyBorder="1" applyFont="1">
      <alignment horizontal="left" vertical="center"/>
    </xf>
    <xf borderId="11" fillId="5" fontId="8" numFmtId="0" xfId="0" applyAlignment="1" applyBorder="1" applyFont="1">
      <alignment horizontal="left" readingOrder="0" vertical="center"/>
    </xf>
    <xf borderId="11" fillId="9" fontId="8" numFmtId="0" xfId="0" applyAlignment="1" applyBorder="1" applyFont="1">
      <alignment readingOrder="0" vertical="center"/>
    </xf>
    <xf borderId="25" fillId="0" fontId="15" numFmtId="0" xfId="0" applyAlignment="1" applyBorder="1" applyFont="1">
      <alignment horizontal="left" vertical="center"/>
    </xf>
    <xf borderId="11" fillId="0" fontId="39" numFmtId="0" xfId="0" applyAlignment="1" applyBorder="1" applyFont="1">
      <alignment horizontal="left" vertical="center"/>
    </xf>
    <xf borderId="13" fillId="3" fontId="15" numFmtId="0" xfId="0" applyAlignment="1" applyBorder="1" applyFont="1">
      <alignment horizontal="left" vertical="center"/>
    </xf>
    <xf borderId="23" fillId="2" fontId="40" numFmtId="0" xfId="0" applyAlignment="1" applyBorder="1" applyFont="1">
      <alignment horizontal="center" readingOrder="0" vertical="center"/>
    </xf>
    <xf borderId="8" fillId="0" fontId="15" numFmtId="0" xfId="0" applyAlignment="1" applyBorder="1" applyFont="1">
      <alignment horizontal="left" readingOrder="0" vertical="center"/>
    </xf>
    <xf borderId="11" fillId="0" fontId="15" numFmtId="0" xfId="0" applyAlignment="1" applyBorder="1" applyFont="1">
      <alignment horizontal="center" vertical="center"/>
    </xf>
    <xf borderId="16" fillId="3" fontId="15" numFmtId="0" xfId="0" applyAlignment="1" applyBorder="1" applyFont="1">
      <alignment horizontal="left" readingOrder="0" vertical="center"/>
    </xf>
    <xf borderId="11" fillId="0" fontId="41" numFmtId="0" xfId="0" applyAlignment="1" applyBorder="1" applyFont="1">
      <alignment vertical="center"/>
    </xf>
    <xf borderId="11" fillId="0" fontId="12" numFmtId="0" xfId="0" applyAlignment="1" applyBorder="1" applyFont="1">
      <alignment vertical="center"/>
    </xf>
    <xf borderId="11" fillId="4" fontId="15" numFmtId="0" xfId="0" applyAlignment="1" applyBorder="1" applyFont="1">
      <alignment horizontal="left" readingOrder="0" vertical="center"/>
    </xf>
    <xf borderId="11" fillId="5" fontId="15" numFmtId="0" xfId="0" applyAlignment="1" applyBorder="1" applyFont="1">
      <alignment horizontal="left" readingOrder="0" vertical="center"/>
    </xf>
    <xf borderId="11" fillId="5" fontId="15" numFmtId="0" xfId="0" applyAlignment="1" applyBorder="1" applyFont="1">
      <alignment readingOrder="0" vertical="center"/>
    </xf>
    <xf borderId="11" fillId="6" fontId="19" numFmtId="0" xfId="0" applyAlignment="1" applyBorder="1" applyFont="1">
      <alignment horizontal="left" readingOrder="0" vertical="center"/>
    </xf>
    <xf borderId="11" fillId="6" fontId="15" numFmtId="0" xfId="0" applyAlignment="1" applyBorder="1" applyFont="1">
      <alignment horizontal="left" readingOrder="0" vertical="center"/>
    </xf>
    <xf borderId="11" fillId="9" fontId="15" numFmtId="0" xfId="0" applyAlignment="1" applyBorder="1" applyFont="1">
      <alignment readingOrder="0" vertical="center"/>
    </xf>
    <xf borderId="26" fillId="0" fontId="12" numFmtId="0" xfId="0" applyAlignment="1" applyBorder="1" applyFont="1">
      <alignment vertical="center"/>
    </xf>
    <xf borderId="26" fillId="0" fontId="12" numFmtId="0" xfId="0" applyAlignment="1" applyBorder="1" applyFont="1">
      <alignment vertical="center"/>
    </xf>
    <xf borderId="11" fillId="2" fontId="15" numFmtId="0" xfId="0" applyAlignment="1" applyBorder="1" applyFont="1">
      <alignment horizontal="left" readingOrder="0" vertical="center"/>
    </xf>
    <xf borderId="13" fillId="3" fontId="15" numFmtId="0" xfId="0" applyAlignment="1" applyBorder="1" applyFont="1">
      <alignment horizontal="left" readingOrder="0" vertical="center"/>
    </xf>
    <xf borderId="13" fillId="0" fontId="41" numFmtId="0" xfId="0" applyAlignment="1" applyBorder="1" applyFont="1">
      <alignment vertical="center"/>
    </xf>
    <xf borderId="11" fillId="11" fontId="4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readingOrder="0" vertical="center"/>
    </xf>
    <xf borderId="11" fillId="0" fontId="20" numFmtId="0" xfId="0" applyAlignment="1" applyBorder="1" applyFont="1">
      <alignment horizontal="left" readingOrder="0" vertical="center"/>
    </xf>
    <xf borderId="11" fillId="6" fontId="42" numFmtId="0" xfId="0" applyAlignment="1" applyBorder="1" applyFont="1">
      <alignment horizontal="left" readingOrder="0" vertical="center"/>
    </xf>
    <xf borderId="11" fillId="11" fontId="15" numFmtId="0" xfId="0" applyAlignment="1" applyBorder="1" applyFont="1">
      <alignment readingOrder="0" vertical="center"/>
    </xf>
    <xf borderId="11" fillId="0" fontId="20" numFmtId="0" xfId="0" applyAlignment="1" applyBorder="1" applyFont="1">
      <alignment horizontal="left" readingOrder="0" vertical="center"/>
    </xf>
    <xf borderId="11" fillId="6" fontId="42" numFmtId="0" xfId="0" applyAlignment="1" applyBorder="1" applyFont="1">
      <alignment readingOrder="0" vertical="center"/>
    </xf>
    <xf borderId="11" fillId="0" fontId="42" numFmtId="0" xfId="0" applyAlignment="1" applyBorder="1" applyFont="1">
      <alignment horizontal="left" vertical="center"/>
    </xf>
    <xf borderId="11" fillId="3" fontId="43" numFmtId="0" xfId="0" applyAlignment="1" applyBorder="1" applyFont="1">
      <alignment horizontal="left" vertical="center"/>
    </xf>
    <xf borderId="11" fillId="0" fontId="20" numFmtId="0" xfId="0" applyAlignment="1" applyBorder="1" applyFont="1">
      <alignment horizontal="left" vertical="center"/>
    </xf>
    <xf borderId="11" fillId="0" fontId="42" numFmtId="0" xfId="0" applyAlignment="1" applyBorder="1" applyFont="1">
      <alignment horizontal="left" readingOrder="0" vertical="center"/>
    </xf>
    <xf borderId="11" fillId="0" fontId="42" numFmtId="0" xfId="0" applyAlignment="1" applyBorder="1" applyFont="1">
      <alignment horizontal="left" readingOrder="0" vertical="center"/>
    </xf>
    <xf borderId="11" fillId="0" fontId="43" numFmtId="0" xfId="0" applyAlignment="1" applyBorder="1" applyFont="1">
      <alignment horizontal="left" vertical="center"/>
    </xf>
    <xf borderId="11" fillId="0" fontId="44" numFmtId="0" xfId="0" applyAlignment="1" applyBorder="1" applyFont="1">
      <alignment horizontal="left" readingOrder="0" vertical="center"/>
    </xf>
    <xf borderId="27" fillId="2" fontId="3" numFmtId="0" xfId="0" applyAlignment="1" applyBorder="1" applyFont="1">
      <alignment horizontal="center" vertical="center"/>
    </xf>
    <xf borderId="11" fillId="10" fontId="12" numFmtId="0" xfId="0" applyAlignment="1" applyBorder="1" applyFont="1">
      <alignment vertical="center"/>
    </xf>
    <xf borderId="7" fillId="0" fontId="12" numFmtId="0" xfId="0" applyAlignment="1" applyBorder="1" applyFont="1">
      <alignment vertical="center"/>
    </xf>
    <xf borderId="8" fillId="10" fontId="15" numFmtId="0" xfId="0" applyAlignment="1" applyBorder="1" applyFont="1">
      <alignment horizontal="left" readingOrder="0" vertical="center"/>
    </xf>
    <xf borderId="19" fillId="10" fontId="15" numFmtId="0" xfId="0" applyAlignment="1" applyBorder="1" applyFont="1">
      <alignment horizontal="left" readingOrder="0" vertical="center"/>
    </xf>
    <xf borderId="19" fillId="0" fontId="41" numFmtId="0" xfId="0" applyAlignment="1" applyBorder="1" applyFont="1">
      <alignment vertical="center"/>
    </xf>
    <xf borderId="11" fillId="10" fontId="15" numFmtId="0" xfId="0" applyAlignment="1" applyBorder="1" applyFont="1">
      <alignment readingOrder="0" vertical="center"/>
    </xf>
    <xf borderId="11" fillId="6" fontId="15" numFmtId="0" xfId="0" applyAlignment="1" applyBorder="1" applyFont="1">
      <alignment readingOrder="0" vertical="center"/>
    </xf>
    <xf borderId="13" fillId="0" fontId="15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left" vertical="center"/>
    </xf>
    <xf borderId="11" fillId="13" fontId="15" numFmtId="0" xfId="0" applyAlignment="1" applyBorder="1" applyFont="1">
      <alignment horizontal="left" readingOrder="0" vertical="center"/>
    </xf>
    <xf borderId="11" fillId="3" fontId="27" numFmtId="0" xfId="0" applyAlignment="1" applyBorder="1" applyFont="1">
      <alignment horizontal="left" readingOrder="0" vertical="center"/>
    </xf>
    <xf borderId="20" fillId="0" fontId="12" numFmtId="0" xfId="0" applyAlignment="1" applyBorder="1" applyFont="1">
      <alignment vertical="center"/>
    </xf>
    <xf borderId="7" fillId="0" fontId="15" numFmtId="0" xfId="0" applyAlignment="1" applyBorder="1" applyFont="1">
      <alignment horizontal="left" readingOrder="0" vertical="center"/>
    </xf>
    <xf borderId="7" fillId="3" fontId="15" numFmtId="0" xfId="0" applyAlignment="1" applyBorder="1" applyFont="1">
      <alignment horizontal="left" readingOrder="0" vertical="center"/>
    </xf>
    <xf borderId="11" fillId="6" fontId="4" numFmtId="0" xfId="0" applyAlignment="1" applyBorder="1" applyFont="1">
      <alignment horizontal="left" readingOrder="0" vertical="center"/>
    </xf>
    <xf borderId="11" fillId="9" fontId="4" numFmtId="0" xfId="0" applyAlignment="1" applyBorder="1" applyFont="1">
      <alignment readingOrder="0" vertical="center"/>
    </xf>
    <xf borderId="28" fillId="0" fontId="15" numFmtId="0" xfId="0" applyAlignment="1" applyBorder="1" applyFont="1">
      <alignment horizontal="left" vertical="center"/>
    </xf>
    <xf borderId="7" fillId="3" fontId="15" numFmtId="0" xfId="0" applyAlignment="1" applyBorder="1" applyFont="1">
      <alignment horizontal="left" vertical="center"/>
    </xf>
    <xf borderId="8" fillId="3" fontId="20" numFmtId="0" xfId="0" applyAlignment="1" applyBorder="1" applyFont="1">
      <alignment horizontal="left" readingOrder="0" vertical="center"/>
    </xf>
    <xf borderId="11" fillId="10" fontId="12" numFmtId="0" xfId="0" applyAlignment="1" applyBorder="1" applyFont="1">
      <alignment vertical="center"/>
    </xf>
    <xf borderId="11" fillId="5" fontId="12" numFmtId="0" xfId="0" applyAlignment="1" applyBorder="1" applyFont="1">
      <alignment horizontal="left" readingOrder="0" vertical="center"/>
    </xf>
    <xf borderId="11" fillId="15" fontId="21" numFmtId="0" xfId="0" applyAlignment="1" applyBorder="1" applyFill="1" applyFont="1">
      <alignment horizontal="left" readingOrder="0" vertical="center"/>
    </xf>
    <xf borderId="11" fillId="15" fontId="11" numFmtId="0" xfId="0" applyAlignment="1" applyBorder="1" applyFont="1">
      <alignment horizontal="left" vertical="center"/>
    </xf>
    <xf borderId="11" fillId="0" fontId="26" numFmtId="0" xfId="0" applyAlignment="1" applyBorder="1" applyFont="1">
      <alignment horizontal="left" readingOrder="0" vertical="center"/>
    </xf>
    <xf borderId="11" fillId="16" fontId="11" numFmtId="0" xfId="0" applyAlignment="1" applyBorder="1" applyFill="1" applyFont="1">
      <alignment horizontal="left" readingOrder="0" vertical="center"/>
    </xf>
    <xf borderId="11" fillId="0" fontId="12" numFmtId="0" xfId="0" applyAlignment="1" applyBorder="1" applyFont="1">
      <alignment vertical="center"/>
    </xf>
    <xf borderId="11" fillId="0" fontId="12" numFmtId="0" xfId="0" applyAlignment="1" applyBorder="1" applyFont="1">
      <alignment vertical="center"/>
    </xf>
    <xf borderId="26" fillId="0" fontId="20" numFmtId="0" xfId="0" applyAlignment="1" applyBorder="1" applyFont="1">
      <alignment horizontal="left" readingOrder="0" vertical="center"/>
    </xf>
    <xf borderId="20" fillId="0" fontId="20" numFmtId="0" xfId="0" applyAlignment="1" applyBorder="1" applyFont="1">
      <alignment horizontal="left" readingOrder="0" vertical="center"/>
    </xf>
    <xf borderId="20" fillId="0" fontId="4" numFmtId="0" xfId="0" applyAlignment="1" applyBorder="1" applyFont="1">
      <alignment horizontal="left" readingOrder="0" vertical="center"/>
    </xf>
    <xf borderId="16" fillId="17" fontId="20" numFmtId="0" xfId="0" applyAlignment="1" applyBorder="1" applyFill="1" applyFont="1">
      <alignment horizontal="left" readingOrder="0" vertical="center"/>
    </xf>
    <xf borderId="20" fillId="0" fontId="15" numFmtId="0" xfId="0" applyAlignment="1" applyBorder="1" applyFont="1">
      <alignment horizontal="left" vertical="center"/>
    </xf>
    <xf borderId="29" fillId="0" fontId="5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center" readingOrder="0" vertical="center"/>
    </xf>
    <xf borderId="30" fillId="0" fontId="5" numFmtId="0" xfId="0" applyAlignment="1" applyBorder="1" applyFont="1">
      <alignment horizontal="center" readingOrder="0" vertical="center"/>
    </xf>
    <xf borderId="0" fillId="18" fontId="5" numFmtId="0" xfId="0" applyAlignment="1" applyFill="1" applyFont="1">
      <alignment horizontal="center" readingOrder="0" vertical="center"/>
    </xf>
    <xf borderId="10" fillId="0" fontId="5" numFmtId="0" xfId="0" applyAlignment="1" applyBorder="1" applyFont="1">
      <alignment horizontal="center" readingOrder="0" vertical="center"/>
    </xf>
    <xf borderId="10" fillId="19" fontId="5" numFmtId="0" xfId="0" applyAlignment="1" applyBorder="1" applyFill="1" applyFont="1">
      <alignment horizontal="center" readingOrder="0" vertical="center"/>
    </xf>
    <xf borderId="10" fillId="0" fontId="18" numFmtId="0" xfId="0" applyAlignment="1" applyBorder="1" applyFont="1">
      <alignment vertical="center"/>
    </xf>
    <xf borderId="10" fillId="4" fontId="5" numFmtId="0" xfId="0" applyAlignment="1" applyBorder="1" applyFont="1">
      <alignment vertical="center"/>
    </xf>
    <xf borderId="0" fillId="4" fontId="5" numFmtId="0" xfId="0" applyAlignment="1" applyFont="1">
      <alignment vertical="center"/>
    </xf>
    <xf borderId="0" fillId="3" fontId="18" numFmtId="0" xfId="0" applyAlignment="1" applyFont="1">
      <alignment vertical="center"/>
    </xf>
    <xf borderId="0" fillId="3" fontId="5" numFmtId="0" xfId="0" applyAlignment="1" applyFont="1">
      <alignment vertical="center"/>
    </xf>
    <xf borderId="10" fillId="19" fontId="5" numFmtId="0" xfId="0" applyAlignment="1" applyBorder="1" applyFont="1">
      <alignment vertical="center"/>
    </xf>
    <xf borderId="12" fillId="19" fontId="45" numFmtId="0" xfId="0" applyAlignment="1" applyBorder="1" applyFont="1">
      <alignment horizontal="right" vertical="center"/>
    </xf>
    <xf borderId="10" fillId="4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29.71"/>
    <col customWidth="1" min="3" max="3" width="29.43"/>
    <col customWidth="1" min="4" max="4" width="28.71"/>
    <col customWidth="1" min="5" max="5" width="26.43"/>
    <col customWidth="1" min="6" max="6" width="21.86"/>
    <col customWidth="1" min="7" max="7" width="9.57"/>
    <col customWidth="1" min="8" max="8" width="3.29"/>
    <col customWidth="1" min="9" max="9" width="7.43"/>
    <col customWidth="1" min="10" max="10" width="3.29"/>
  </cols>
  <sheetData>
    <row r="1">
      <c r="A1" s="1">
        <v>45992.0</v>
      </c>
      <c r="B1" s="2"/>
      <c r="C1" s="2"/>
      <c r="D1" s="2"/>
      <c r="E1" s="2"/>
      <c r="F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7" t="s">
        <v>5</v>
      </c>
    </row>
    <row r="3">
      <c r="A3" s="8">
        <v>1.0</v>
      </c>
      <c r="B3" s="8">
        <v>2.0</v>
      </c>
      <c r="C3" s="8">
        <v>3.0</v>
      </c>
      <c r="D3" s="9">
        <v>4.0</v>
      </c>
      <c r="E3" s="9">
        <v>5.0</v>
      </c>
      <c r="F3" s="10">
        <v>6.0</v>
      </c>
      <c r="G3" s="11" t="s">
        <v>6</v>
      </c>
      <c r="H3" s="12">
        <f>COUNTIF($A:$F, "*진로개발*")</f>
        <v>15</v>
      </c>
      <c r="I3" s="13" t="s">
        <v>7</v>
      </c>
      <c r="J3" s="12">
        <f>COUNTIF($A:$F, "*강 진*")</f>
        <v>4</v>
      </c>
    </row>
    <row r="4">
      <c r="A4" s="14" t="s">
        <v>8</v>
      </c>
      <c r="B4" s="15" t="s">
        <v>9</v>
      </c>
      <c r="C4" s="16" t="s">
        <v>10</v>
      </c>
      <c r="D4" s="17" t="s">
        <v>11</v>
      </c>
      <c r="E4" s="18" t="s">
        <v>12</v>
      </c>
      <c r="F4" s="19"/>
      <c r="G4" s="11" t="s">
        <v>13</v>
      </c>
      <c r="H4" s="12">
        <f>COUNTIF($A:$F, "*서류면접*")</f>
        <v>38</v>
      </c>
      <c r="I4" s="20" t="s">
        <v>14</v>
      </c>
      <c r="J4" s="12">
        <f>COUNTIF($A:$F, "*김나영*")</f>
        <v>4</v>
      </c>
    </row>
    <row r="5">
      <c r="A5" s="14" t="s">
        <v>15</v>
      </c>
      <c r="B5" s="15" t="s">
        <v>16</v>
      </c>
      <c r="C5" s="16" t="s">
        <v>17</v>
      </c>
      <c r="D5" s="21" t="s">
        <v>18</v>
      </c>
      <c r="E5" s="18" t="s">
        <v>19</v>
      </c>
      <c r="F5" s="19"/>
      <c r="G5" s="11" t="s">
        <v>20</v>
      </c>
      <c r="H5" s="12">
        <f>COUNTIF($A:$F, "*공기업*")</f>
        <v>4</v>
      </c>
      <c r="I5" s="20" t="s">
        <v>21</v>
      </c>
      <c r="J5" s="12">
        <f>COUNTIF($A:$F, "*김미령*")</f>
        <v>0</v>
      </c>
    </row>
    <row r="6">
      <c r="A6" s="22"/>
      <c r="B6" s="23"/>
      <c r="C6" s="24"/>
      <c r="D6" s="23"/>
      <c r="E6" s="25"/>
      <c r="F6" s="26"/>
      <c r="G6" s="11" t="s">
        <v>22</v>
      </c>
      <c r="H6" s="12">
        <f>COUNTIF($A:$F, "*외국계*")</f>
        <v>5</v>
      </c>
      <c r="I6" s="20" t="s">
        <v>23</v>
      </c>
      <c r="J6" s="12">
        <f>COUNTIF($A:$F, "*김민경*")</f>
        <v>5</v>
      </c>
    </row>
    <row r="7">
      <c r="A7" s="24"/>
      <c r="B7" s="24"/>
      <c r="C7" s="27" t="s">
        <v>24</v>
      </c>
      <c r="D7" s="24"/>
      <c r="E7" s="25"/>
      <c r="F7" s="28"/>
      <c r="G7" s="11" t="s">
        <v>25</v>
      </c>
      <c r="H7" s="12">
        <f>COUNTIF($A:$F, "*이공계*")</f>
        <v>2</v>
      </c>
      <c r="I7" s="20" t="s">
        <v>26</v>
      </c>
      <c r="J7" s="12">
        <f>COUNTIF($A:$F, "*김선화*")</f>
        <v>4</v>
      </c>
    </row>
    <row r="8">
      <c r="A8" s="24"/>
      <c r="B8" s="23"/>
      <c r="C8" s="27" t="s">
        <v>27</v>
      </c>
      <c r="D8" s="29" t="s">
        <v>28</v>
      </c>
      <c r="E8" s="30"/>
      <c r="F8" s="19"/>
      <c r="G8" s="11" t="s">
        <v>29</v>
      </c>
      <c r="H8" s="12">
        <f>COUNTIF($A:$F, "*콘텐츠*")</f>
        <v>0</v>
      </c>
      <c r="I8" s="20" t="s">
        <v>30</v>
      </c>
      <c r="J8" s="12">
        <f>COUNTIF($A:$F, "*김세희*")</f>
        <v>0</v>
      </c>
    </row>
    <row r="9">
      <c r="A9" s="24"/>
      <c r="B9" s="23"/>
      <c r="C9" s="24"/>
      <c r="D9" s="31" t="s">
        <v>31</v>
      </c>
      <c r="E9" s="16" t="s">
        <v>32</v>
      </c>
      <c r="F9" s="19"/>
      <c r="G9" s="11" t="s">
        <v>33</v>
      </c>
      <c r="H9" s="12">
        <f>COUNTIF($A:$F, "*금융*")</f>
        <v>0</v>
      </c>
      <c r="I9" s="20" t="s">
        <v>34</v>
      </c>
      <c r="J9" s="12">
        <f>COUNTIF($A:$F, "*김지현*")</f>
        <v>5</v>
      </c>
    </row>
    <row r="10">
      <c r="A10" s="23"/>
      <c r="B10" s="23"/>
      <c r="C10" s="32" t="s">
        <v>35</v>
      </c>
      <c r="D10" s="33"/>
      <c r="E10" s="16" t="s">
        <v>36</v>
      </c>
      <c r="F10" s="19"/>
      <c r="G10" s="34" t="s">
        <v>37</v>
      </c>
      <c r="H10" s="12">
        <f>COUNTIF($A:$F, "*IT*")</f>
        <v>0</v>
      </c>
      <c r="I10" s="20" t="s">
        <v>38</v>
      </c>
      <c r="J10" s="12">
        <f>COUNTIF($A:$F, "*범하나*")</f>
        <v>4</v>
      </c>
    </row>
    <row r="11">
      <c r="A11" s="23"/>
      <c r="B11" s="33"/>
      <c r="C11" s="32" t="s">
        <v>39</v>
      </c>
      <c r="D11" s="33"/>
      <c r="E11" s="23"/>
      <c r="F11" s="19"/>
      <c r="G11" s="11" t="s">
        <v>40</v>
      </c>
      <c r="H11" s="12">
        <f>COUNTIF($A:$F, "*임원면접*")</f>
        <v>0</v>
      </c>
      <c r="I11" s="20" t="s">
        <v>41</v>
      </c>
      <c r="J11" s="12">
        <f>COUNTIF($A:$F, "*성지우*")</f>
        <v>3</v>
      </c>
    </row>
    <row r="12">
      <c r="A12" s="22"/>
      <c r="B12" s="31" t="s">
        <v>42</v>
      </c>
      <c r="C12" s="35"/>
      <c r="D12" s="15" t="s">
        <v>43</v>
      </c>
      <c r="E12" s="36"/>
      <c r="F12" s="28"/>
      <c r="G12" s="37" t="s">
        <v>44</v>
      </c>
      <c r="H12" s="38">
        <f>sum(H3:H11)</f>
        <v>64</v>
      </c>
      <c r="I12" s="20" t="s">
        <v>45</v>
      </c>
      <c r="J12" s="12">
        <f>COUNTIF($A:$F, "*신민이*")</f>
        <v>6</v>
      </c>
    </row>
    <row r="13">
      <c r="A13" s="33"/>
      <c r="B13" s="16" t="s">
        <v>46</v>
      </c>
      <c r="C13" s="24"/>
      <c r="D13" s="15" t="s">
        <v>47</v>
      </c>
      <c r="E13" s="39" t="s">
        <v>48</v>
      </c>
      <c r="F13" s="19"/>
      <c r="I13" s="20" t="s">
        <v>49</v>
      </c>
      <c r="J13" s="12">
        <f>COUNTIF($A:$F, "*심영섭*")</f>
        <v>7</v>
      </c>
    </row>
    <row r="14">
      <c r="A14" s="22"/>
      <c r="B14" s="16" t="s">
        <v>50</v>
      </c>
      <c r="C14" s="24"/>
      <c r="D14" s="23"/>
      <c r="E14" s="39" t="s">
        <v>51</v>
      </c>
      <c r="F14" s="19"/>
      <c r="I14" s="20" t="s">
        <v>52</v>
      </c>
      <c r="J14" s="12">
        <f>COUNTIF($A:$F, "*양우석*")</f>
        <v>0</v>
      </c>
    </row>
    <row r="15">
      <c r="A15" s="22"/>
      <c r="B15" s="22"/>
      <c r="C15" s="35"/>
      <c r="D15" s="33"/>
      <c r="E15" s="35"/>
      <c r="F15" s="19"/>
      <c r="I15" s="20" t="s">
        <v>53</v>
      </c>
      <c r="J15" s="12">
        <f>COUNTIF($A:$F, "*이상환*")</f>
        <v>0</v>
      </c>
    </row>
    <row r="16">
      <c r="A16" s="21" t="s">
        <v>54</v>
      </c>
      <c r="B16" s="24"/>
      <c r="C16" s="35"/>
      <c r="D16" s="24"/>
      <c r="E16" s="40"/>
      <c r="F16" s="19"/>
      <c r="I16" s="20" t="s">
        <v>55</v>
      </c>
      <c r="J16" s="12">
        <f>COUNTIF($A:$F, "*이주환*")</f>
        <v>0</v>
      </c>
    </row>
    <row r="17">
      <c r="A17" s="21" t="s">
        <v>56</v>
      </c>
      <c r="B17" s="33"/>
      <c r="C17" s="35"/>
      <c r="D17" s="24"/>
      <c r="E17" s="35"/>
      <c r="F17" s="41"/>
      <c r="I17" s="20" t="s">
        <v>57</v>
      </c>
      <c r="J17" s="12">
        <f>COUNTIF($A:$F, "*이하영*")</f>
        <v>0</v>
      </c>
    </row>
    <row r="18">
      <c r="A18" s="23"/>
      <c r="B18" s="33"/>
      <c r="C18" s="42"/>
      <c r="D18" s="24"/>
      <c r="E18" s="43"/>
      <c r="F18" s="41"/>
      <c r="I18" s="20" t="s">
        <v>58</v>
      </c>
      <c r="J18" s="12">
        <f>COUNTIF($A:$F, "*이효숙*")</f>
        <v>0</v>
      </c>
    </row>
    <row r="19">
      <c r="A19" s="23"/>
      <c r="B19" s="42"/>
      <c r="C19" s="42"/>
      <c r="D19" s="24"/>
      <c r="E19" s="35"/>
      <c r="F19" s="19"/>
      <c r="I19" s="20" t="s">
        <v>59</v>
      </c>
      <c r="J19" s="12">
        <f>COUNTIF($A:$F, "*이희영*")</f>
        <v>6</v>
      </c>
    </row>
    <row r="20">
      <c r="A20" s="44"/>
      <c r="B20" s="45"/>
      <c r="C20" s="45"/>
      <c r="D20" s="44"/>
      <c r="E20" s="44"/>
      <c r="F20" s="46"/>
      <c r="I20" s="20" t="s">
        <v>60</v>
      </c>
      <c r="J20" s="12">
        <f>COUNTIF($A:$F, "*장신혜*")</f>
        <v>6</v>
      </c>
    </row>
    <row r="21">
      <c r="A21" s="47"/>
      <c r="B21" s="45"/>
      <c r="C21" s="45"/>
      <c r="D21" s="45"/>
      <c r="E21" s="45"/>
      <c r="F21" s="46"/>
      <c r="I21" s="20" t="s">
        <v>61</v>
      </c>
      <c r="J21" s="12">
        <f>COUNTIF($A:$F, "*정지선*")</f>
        <v>4</v>
      </c>
    </row>
    <row r="22">
      <c r="A22" s="47"/>
      <c r="B22" s="48"/>
      <c r="C22" s="48"/>
      <c r="D22" s="48"/>
      <c r="E22" s="48"/>
      <c r="F22" s="46"/>
      <c r="I22" s="20" t="s">
        <v>62</v>
      </c>
      <c r="J22" s="12">
        <f>COUNTIF($A:$F, "*지명선*")</f>
        <v>2</v>
      </c>
    </row>
    <row r="23">
      <c r="A23" s="9">
        <v>8.0</v>
      </c>
      <c r="B23" s="9">
        <v>9.0</v>
      </c>
      <c r="C23" s="9">
        <v>10.0</v>
      </c>
      <c r="D23" s="10">
        <v>11.0</v>
      </c>
      <c r="E23" s="10">
        <v>12.0</v>
      </c>
      <c r="F23" s="10">
        <v>13.0</v>
      </c>
      <c r="I23" s="20" t="s">
        <v>63</v>
      </c>
      <c r="J23" s="12">
        <f>COUNTIF($A:$F, "*최은주*")</f>
        <v>0</v>
      </c>
    </row>
    <row r="24">
      <c r="A24" s="49" t="s">
        <v>64</v>
      </c>
      <c r="B24" s="50"/>
      <c r="C24" s="50"/>
      <c r="D24" s="50"/>
      <c r="E24" s="50"/>
      <c r="F24" s="50"/>
      <c r="I24" s="20" t="s">
        <v>65</v>
      </c>
      <c r="J24" s="12">
        <f>COUNTIF($A:$F, "*한 나*")</f>
        <v>4</v>
      </c>
    </row>
    <row r="25">
      <c r="A25" s="45"/>
      <c r="B25" s="45"/>
      <c r="C25" s="45"/>
      <c r="D25" s="45"/>
      <c r="E25" s="51"/>
      <c r="F25" s="51"/>
      <c r="I25" s="20" t="s">
        <v>66</v>
      </c>
      <c r="J25" s="12">
        <f>COUNTIF($A:$F, "*민현정*")</f>
        <v>0</v>
      </c>
    </row>
    <row r="26">
      <c r="A26" s="45"/>
      <c r="B26" s="52" t="s">
        <v>67</v>
      </c>
      <c r="C26" s="53"/>
      <c r="D26" s="45"/>
      <c r="E26" s="51"/>
      <c r="F26" s="51"/>
      <c r="I26" s="54" t="s">
        <v>44</v>
      </c>
      <c r="J26" s="38">
        <f>sum(J3:J25)</f>
        <v>64</v>
      </c>
    </row>
    <row r="27">
      <c r="A27" s="45"/>
      <c r="B27" s="52" t="s">
        <v>31</v>
      </c>
      <c r="C27" s="53"/>
      <c r="D27" s="45"/>
      <c r="E27" s="51"/>
      <c r="F27" s="51"/>
    </row>
    <row r="28">
      <c r="A28" s="45"/>
      <c r="B28" s="52" t="s">
        <v>68</v>
      </c>
      <c r="C28" s="52" t="s">
        <v>69</v>
      </c>
      <c r="D28" s="45"/>
      <c r="E28" s="51"/>
      <c r="F28" s="51"/>
    </row>
    <row r="29">
      <c r="A29" s="45"/>
      <c r="B29" s="53"/>
      <c r="C29" s="52" t="s">
        <v>70</v>
      </c>
      <c r="D29" s="45"/>
      <c r="E29" s="51"/>
      <c r="F29" s="51"/>
    </row>
    <row r="30">
      <c r="A30" s="45"/>
      <c r="B30" s="45"/>
      <c r="C30" s="52" t="s">
        <v>71</v>
      </c>
      <c r="D30" s="45"/>
      <c r="E30" s="51"/>
      <c r="F30" s="51"/>
    </row>
    <row r="31">
      <c r="A31" s="45"/>
      <c r="B31" s="45"/>
      <c r="C31" s="45"/>
      <c r="D31" s="45"/>
      <c r="E31" s="51"/>
      <c r="F31" s="51"/>
    </row>
    <row r="32">
      <c r="A32" s="45"/>
      <c r="B32" s="45"/>
      <c r="C32" s="45"/>
      <c r="D32" s="45"/>
      <c r="E32" s="55"/>
      <c r="F32" s="51"/>
    </row>
    <row r="33">
      <c r="A33" s="45"/>
      <c r="B33" s="45"/>
      <c r="C33" s="45"/>
      <c r="D33" s="45"/>
      <c r="E33" s="55"/>
      <c r="F33" s="51"/>
    </row>
    <row r="34">
      <c r="A34" s="45"/>
      <c r="B34" s="45"/>
      <c r="C34" s="45"/>
      <c r="D34" s="45"/>
      <c r="E34" s="55"/>
      <c r="F34" s="51"/>
    </row>
    <row r="35">
      <c r="A35" s="45"/>
      <c r="B35" s="45"/>
      <c r="C35" s="45"/>
      <c r="D35" s="45"/>
      <c r="E35" s="55"/>
      <c r="F35" s="51"/>
    </row>
    <row r="36">
      <c r="A36" s="45"/>
      <c r="B36" s="45"/>
      <c r="C36" s="45"/>
      <c r="D36" s="45"/>
      <c r="E36" s="47"/>
      <c r="F36" s="51"/>
    </row>
    <row r="37">
      <c r="A37" s="45"/>
      <c r="B37" s="45"/>
      <c r="C37" s="45"/>
      <c r="D37" s="45"/>
      <c r="E37" s="51"/>
      <c r="F37" s="51"/>
    </row>
    <row r="38">
      <c r="A38" s="45"/>
      <c r="B38" s="45"/>
      <c r="C38" s="45"/>
      <c r="D38" s="45"/>
      <c r="E38" s="56"/>
      <c r="F38" s="51"/>
    </row>
    <row r="39">
      <c r="A39" s="45"/>
      <c r="B39" s="45"/>
      <c r="C39" s="45"/>
      <c r="D39" s="45"/>
      <c r="E39" s="56"/>
      <c r="F39" s="51"/>
    </row>
    <row r="40">
      <c r="A40" s="45"/>
      <c r="B40" s="45"/>
      <c r="C40" s="45"/>
      <c r="D40" s="45"/>
      <c r="E40" s="47"/>
      <c r="F40" s="51"/>
    </row>
    <row r="41">
      <c r="A41" s="45"/>
      <c r="B41" s="45"/>
      <c r="C41" s="45"/>
      <c r="D41" s="45"/>
      <c r="E41" s="45"/>
      <c r="F41" s="51"/>
    </row>
    <row r="42">
      <c r="A42" s="45"/>
      <c r="B42" s="45"/>
      <c r="C42" s="45"/>
      <c r="D42" s="45"/>
      <c r="E42" s="45"/>
      <c r="F42" s="51"/>
    </row>
    <row r="43">
      <c r="A43" s="45"/>
      <c r="B43" s="45"/>
      <c r="C43" s="45"/>
      <c r="D43" s="45"/>
      <c r="E43" s="45"/>
      <c r="F43" s="51"/>
    </row>
    <row r="44">
      <c r="A44" s="9">
        <v>15.0</v>
      </c>
      <c r="B44" s="9">
        <v>16.0</v>
      </c>
      <c r="C44" s="10">
        <v>17.0</v>
      </c>
      <c r="D44" s="10">
        <v>18.0</v>
      </c>
      <c r="E44" s="10">
        <v>19.0</v>
      </c>
      <c r="F44" s="10">
        <v>20.0</v>
      </c>
    </row>
    <row r="45">
      <c r="A45" s="49" t="s">
        <v>64</v>
      </c>
      <c r="B45" s="50"/>
      <c r="C45" s="50"/>
      <c r="D45" s="50"/>
      <c r="E45" s="50"/>
      <c r="F45" s="50"/>
    </row>
    <row r="46">
      <c r="A46" s="48"/>
      <c r="B46" s="15" t="s">
        <v>72</v>
      </c>
      <c r="C46" s="16" t="s">
        <v>10</v>
      </c>
      <c r="D46" s="17" t="s">
        <v>11</v>
      </c>
      <c r="E46" s="18" t="s">
        <v>12</v>
      </c>
      <c r="F46" s="19"/>
    </row>
    <row r="47">
      <c r="A47" s="48"/>
      <c r="B47" s="15" t="s">
        <v>73</v>
      </c>
      <c r="C47" s="16" t="s">
        <v>17</v>
      </c>
      <c r="D47" s="21" t="s">
        <v>18</v>
      </c>
      <c r="E47" s="18" t="s">
        <v>19</v>
      </c>
      <c r="F47" s="26"/>
    </row>
    <row r="48">
      <c r="A48" s="48"/>
      <c r="B48" s="23"/>
      <c r="C48" s="24"/>
      <c r="D48" s="23"/>
      <c r="E48" s="25"/>
      <c r="F48" s="46"/>
    </row>
    <row r="49">
      <c r="A49" s="48"/>
      <c r="B49" s="24"/>
      <c r="C49" s="22"/>
      <c r="D49" s="24"/>
      <c r="E49" s="25"/>
      <c r="F49" s="46"/>
    </row>
    <row r="50">
      <c r="A50" s="48"/>
      <c r="B50" s="23"/>
      <c r="C50" s="22"/>
      <c r="D50" s="25"/>
      <c r="E50" s="30"/>
      <c r="F50" s="46"/>
    </row>
    <row r="51">
      <c r="A51" s="48"/>
      <c r="B51" s="23"/>
      <c r="C51" s="24"/>
      <c r="D51" s="25"/>
      <c r="E51" s="16" t="s">
        <v>32</v>
      </c>
      <c r="F51" s="57"/>
    </row>
    <row r="52">
      <c r="A52" s="48"/>
      <c r="B52" s="23"/>
      <c r="C52" s="32" t="s">
        <v>35</v>
      </c>
      <c r="D52" s="27" t="s">
        <v>74</v>
      </c>
      <c r="E52" s="16" t="s">
        <v>36</v>
      </c>
      <c r="F52" s="57"/>
    </row>
    <row r="53">
      <c r="A53" s="48"/>
      <c r="B53" s="33"/>
      <c r="C53" s="32" t="s">
        <v>39</v>
      </c>
      <c r="D53" s="15" t="s">
        <v>47</v>
      </c>
      <c r="E53" s="23"/>
      <c r="F53" s="57"/>
    </row>
    <row r="54">
      <c r="A54" s="48"/>
      <c r="B54" s="33"/>
      <c r="C54" s="35"/>
      <c r="D54" s="22"/>
      <c r="E54" s="36"/>
      <c r="F54" s="57"/>
    </row>
    <row r="55">
      <c r="A55" s="48"/>
      <c r="B55" s="22"/>
      <c r="C55" s="58"/>
      <c r="D55" s="22"/>
      <c r="E55" s="33"/>
      <c r="F55" s="57"/>
    </row>
    <row r="56">
      <c r="A56" s="48"/>
      <c r="B56" s="22"/>
      <c r="C56" s="58"/>
      <c r="D56" s="23"/>
      <c r="E56" s="17" t="s">
        <v>28</v>
      </c>
      <c r="F56" s="57"/>
    </row>
    <row r="57">
      <c r="A57" s="48"/>
      <c r="B57" s="24"/>
      <c r="C57" s="58"/>
      <c r="D57" s="59"/>
      <c r="E57" s="21" t="s">
        <v>31</v>
      </c>
      <c r="F57" s="57"/>
    </row>
    <row r="58">
      <c r="A58" s="48"/>
      <c r="B58" s="24"/>
      <c r="C58" s="58"/>
      <c r="D58" s="58"/>
      <c r="E58" s="60"/>
      <c r="F58" s="57"/>
    </row>
    <row r="59">
      <c r="A59" s="48"/>
      <c r="B59" s="33"/>
      <c r="C59" s="58"/>
      <c r="D59" s="58"/>
      <c r="E59" s="59"/>
      <c r="F59" s="57"/>
    </row>
    <row r="60">
      <c r="A60" s="48"/>
      <c r="B60" s="33"/>
      <c r="C60" s="58"/>
      <c r="D60" s="58"/>
      <c r="E60" s="58"/>
      <c r="F60" s="61"/>
    </row>
    <row r="61">
      <c r="A61" s="48"/>
      <c r="B61" s="48"/>
      <c r="C61" s="48"/>
      <c r="D61" s="48"/>
      <c r="E61" s="48"/>
      <c r="F61" s="61"/>
    </row>
    <row r="62">
      <c r="A62" s="48"/>
      <c r="B62" s="48"/>
      <c r="C62" s="48"/>
      <c r="D62" s="48"/>
      <c r="E62" s="48"/>
      <c r="F62" s="61"/>
    </row>
    <row r="63">
      <c r="A63" s="45"/>
      <c r="B63" s="48"/>
      <c r="C63" s="48"/>
      <c r="D63" s="48"/>
      <c r="E63" s="48"/>
      <c r="F63" s="61"/>
    </row>
    <row r="64">
      <c r="A64" s="45"/>
      <c r="B64" s="45"/>
      <c r="C64" s="45"/>
      <c r="D64" s="45"/>
      <c r="E64" s="45"/>
      <c r="F64" s="61"/>
    </row>
    <row r="65">
      <c r="A65" s="62"/>
      <c r="B65" s="62"/>
      <c r="C65" s="46"/>
      <c r="D65" s="46"/>
      <c r="E65" s="46"/>
      <c r="F65" s="61"/>
    </row>
    <row r="66">
      <c r="A66" s="9">
        <v>22.0</v>
      </c>
      <c r="B66" s="9">
        <v>23.0</v>
      </c>
      <c r="C66" s="10">
        <v>24.0</v>
      </c>
      <c r="D66" s="63">
        <v>25.0</v>
      </c>
      <c r="E66" s="9">
        <v>26.0</v>
      </c>
      <c r="F66" s="10">
        <v>27.0</v>
      </c>
    </row>
    <row r="67">
      <c r="A67" s="27" t="s">
        <v>75</v>
      </c>
      <c r="B67" s="15" t="s">
        <v>76</v>
      </c>
      <c r="C67" s="19"/>
      <c r="D67" s="64" t="s">
        <v>77</v>
      </c>
      <c r="E67" s="18" t="s">
        <v>12</v>
      </c>
      <c r="F67" s="19"/>
    </row>
    <row r="68">
      <c r="A68" s="27" t="s">
        <v>78</v>
      </c>
      <c r="B68" s="15" t="s">
        <v>79</v>
      </c>
      <c r="C68" s="19"/>
      <c r="D68" s="48"/>
      <c r="E68" s="18" t="s">
        <v>19</v>
      </c>
      <c r="F68" s="19"/>
    </row>
    <row r="69">
      <c r="A69" s="22"/>
      <c r="B69" s="23"/>
      <c r="C69" s="65"/>
      <c r="D69" s="48"/>
      <c r="E69" s="25"/>
      <c r="F69" s="26"/>
    </row>
    <row r="70">
      <c r="A70" s="24"/>
      <c r="B70" s="24"/>
      <c r="C70" s="19"/>
      <c r="D70" s="48"/>
      <c r="E70" s="25"/>
      <c r="F70" s="28"/>
    </row>
    <row r="71">
      <c r="A71" s="24"/>
      <c r="B71" s="23"/>
      <c r="C71" s="19"/>
      <c r="D71" s="48"/>
      <c r="E71" s="30"/>
      <c r="F71" s="19"/>
    </row>
    <row r="72">
      <c r="A72" s="66" t="s">
        <v>80</v>
      </c>
      <c r="B72" s="23"/>
      <c r="C72" s="65"/>
      <c r="D72" s="48"/>
      <c r="E72" s="16" t="s">
        <v>32</v>
      </c>
      <c r="F72" s="19"/>
    </row>
    <row r="73">
      <c r="A73" s="23"/>
      <c r="B73" s="23"/>
      <c r="C73" s="40"/>
      <c r="D73" s="48"/>
      <c r="E73" s="16" t="s">
        <v>36</v>
      </c>
      <c r="F73" s="19"/>
    </row>
    <row r="74">
      <c r="A74" s="23"/>
      <c r="B74" s="33"/>
      <c r="C74" s="40"/>
      <c r="D74" s="48"/>
      <c r="E74" s="23"/>
      <c r="F74" s="19"/>
    </row>
    <row r="75">
      <c r="A75" s="22"/>
      <c r="B75" s="33"/>
      <c r="C75" s="40"/>
      <c r="D75" s="48"/>
      <c r="E75" s="26"/>
      <c r="F75" s="28"/>
    </row>
    <row r="76">
      <c r="A76" s="33"/>
      <c r="B76" s="16" t="s">
        <v>81</v>
      </c>
      <c r="C76" s="65"/>
      <c r="D76" s="48"/>
      <c r="E76" s="67" t="s">
        <v>82</v>
      </c>
      <c r="F76" s="19"/>
    </row>
    <row r="77">
      <c r="A77" s="22"/>
      <c r="B77" s="16" t="s">
        <v>83</v>
      </c>
      <c r="C77" s="65"/>
      <c r="D77" s="48"/>
      <c r="E77" s="67" t="s">
        <v>84</v>
      </c>
      <c r="F77" s="19"/>
    </row>
    <row r="78">
      <c r="A78" s="22"/>
      <c r="B78" s="24"/>
      <c r="C78" s="40"/>
      <c r="D78" s="48"/>
      <c r="E78" s="28"/>
      <c r="F78" s="19"/>
    </row>
    <row r="79">
      <c r="A79" s="21" t="s">
        <v>54</v>
      </c>
      <c r="B79" s="24"/>
      <c r="C79" s="40"/>
      <c r="D79" s="48"/>
      <c r="E79" s="28"/>
      <c r="F79" s="19"/>
    </row>
    <row r="80">
      <c r="A80" s="21" t="s">
        <v>56</v>
      </c>
      <c r="B80" s="33"/>
      <c r="C80" s="28"/>
      <c r="D80" s="48"/>
      <c r="E80" s="68"/>
      <c r="F80" s="41"/>
    </row>
    <row r="81">
      <c r="A81" s="33"/>
      <c r="B81" s="28"/>
      <c r="C81" s="69"/>
      <c r="D81" s="47"/>
      <c r="F81" s="41"/>
    </row>
    <row r="82">
      <c r="A82" s="70"/>
      <c r="B82" s="69"/>
      <c r="C82" s="69"/>
      <c r="D82" s="47"/>
      <c r="E82" s="47"/>
      <c r="F82" s="46"/>
    </row>
    <row r="83">
      <c r="A83" s="44"/>
      <c r="B83" s="45"/>
      <c r="C83" s="45"/>
      <c r="D83" s="48"/>
      <c r="E83" s="48"/>
      <c r="F83" s="46"/>
    </row>
    <row r="84">
      <c r="A84" s="47"/>
      <c r="B84" s="45"/>
      <c r="C84" s="45"/>
      <c r="D84" s="45"/>
      <c r="E84" s="45"/>
      <c r="F84" s="46"/>
    </row>
    <row r="85">
      <c r="A85" s="45"/>
      <c r="B85" s="45"/>
      <c r="C85" s="45"/>
      <c r="D85" s="45"/>
      <c r="E85" s="45"/>
      <c r="F85" s="46"/>
    </row>
    <row r="86">
      <c r="A86" s="9">
        <v>29.0</v>
      </c>
      <c r="B86" s="9">
        <v>30.0</v>
      </c>
      <c r="C86" s="9">
        <v>31.0</v>
      </c>
      <c r="D86" s="9"/>
      <c r="E86" s="9"/>
      <c r="F86" s="9"/>
    </row>
    <row r="87">
      <c r="A87" s="71" t="s">
        <v>85</v>
      </c>
      <c r="B87" s="72"/>
      <c r="C87" s="73"/>
      <c r="D87" s="62"/>
      <c r="E87" s="62"/>
      <c r="F87" s="62"/>
    </row>
    <row r="88">
      <c r="A88" s="62"/>
      <c r="B88" s="62"/>
      <c r="C88" s="62"/>
      <c r="D88" s="62"/>
      <c r="E88" s="62"/>
      <c r="F88" s="62"/>
    </row>
    <row r="89">
      <c r="A89" s="62"/>
      <c r="B89" s="62"/>
      <c r="C89" s="62"/>
      <c r="D89" s="62"/>
      <c r="E89" s="62"/>
      <c r="F89" s="62"/>
    </row>
    <row r="90">
      <c r="A90" s="62"/>
      <c r="B90" s="62"/>
      <c r="C90" s="62"/>
      <c r="D90" s="62"/>
      <c r="E90" s="62"/>
      <c r="F90" s="62"/>
    </row>
    <row r="91">
      <c r="A91" s="62"/>
      <c r="B91" s="62"/>
      <c r="C91" s="62"/>
      <c r="D91" s="62"/>
      <c r="E91" s="62"/>
      <c r="F91" s="62"/>
    </row>
    <row r="92">
      <c r="A92" s="62"/>
      <c r="B92" s="62"/>
      <c r="C92" s="62"/>
      <c r="D92" s="62"/>
      <c r="E92" s="62"/>
      <c r="F92" s="62"/>
    </row>
    <row r="93">
      <c r="A93" s="62"/>
      <c r="B93" s="62"/>
      <c r="C93" s="62"/>
      <c r="D93" s="62"/>
      <c r="E93" s="62"/>
      <c r="F93" s="62"/>
    </row>
    <row r="94">
      <c r="A94" s="74"/>
      <c r="B94" s="75"/>
      <c r="C94" s="75"/>
      <c r="D94" s="75"/>
      <c r="E94" s="75"/>
      <c r="F94" s="75"/>
    </row>
  </sheetData>
  <mergeCells count="4">
    <mergeCell ref="A1:F1"/>
    <mergeCell ref="A24:F24"/>
    <mergeCell ref="A45:F45"/>
    <mergeCell ref="A87:C87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29.71"/>
    <col customWidth="1" min="3" max="3" width="29.0"/>
    <col customWidth="1" min="4" max="4" width="27.14"/>
    <col customWidth="1" min="5" max="6" width="32.43"/>
    <col customWidth="1" min="7" max="7" width="9.57"/>
    <col customWidth="1" min="8" max="8" width="4.29"/>
    <col customWidth="1" min="9" max="9" width="7.43"/>
    <col customWidth="1" min="10" max="10" width="4.29"/>
  </cols>
  <sheetData>
    <row r="1">
      <c r="A1" s="1">
        <v>45962.0</v>
      </c>
      <c r="B1" s="2"/>
      <c r="C1" s="2"/>
      <c r="D1" s="2"/>
      <c r="E1" s="2"/>
      <c r="F1" s="3"/>
    </row>
    <row r="2">
      <c r="A2" s="4" t="s">
        <v>86</v>
      </c>
      <c r="B2" s="5" t="s">
        <v>87</v>
      </c>
      <c r="C2" s="5" t="s">
        <v>88</v>
      </c>
      <c r="D2" s="5" t="s">
        <v>89</v>
      </c>
      <c r="E2" s="6" t="s">
        <v>90</v>
      </c>
      <c r="F2" s="7" t="s">
        <v>5</v>
      </c>
    </row>
    <row r="3">
      <c r="A3" s="76"/>
      <c r="B3" s="8"/>
      <c r="C3" s="8"/>
      <c r="D3" s="8"/>
      <c r="E3" s="8"/>
      <c r="F3" s="8">
        <v>1.0</v>
      </c>
      <c r="G3" s="11" t="s">
        <v>6</v>
      </c>
      <c r="H3" s="12">
        <f>COUNTIF($A:$F, "*진로개발*")</f>
        <v>19</v>
      </c>
      <c r="I3" s="13" t="s">
        <v>7</v>
      </c>
      <c r="J3" s="12">
        <f>COUNTIF($A:$F, "*강 진*")</f>
        <v>11</v>
      </c>
    </row>
    <row r="4">
      <c r="A4" s="51"/>
      <c r="B4" s="51"/>
      <c r="C4" s="51"/>
      <c r="D4" s="51"/>
      <c r="E4" s="51"/>
      <c r="F4" s="77" t="s">
        <v>91</v>
      </c>
      <c r="G4" s="11" t="s">
        <v>13</v>
      </c>
      <c r="H4" s="12">
        <f>COUNTIF($A:$F, "*서류면접*")</f>
        <v>110</v>
      </c>
      <c r="I4" s="20" t="s">
        <v>14</v>
      </c>
      <c r="J4" s="12">
        <f>COUNTIF($A:$F, "*김나영*")</f>
        <v>9</v>
      </c>
    </row>
    <row r="5">
      <c r="A5" s="51"/>
      <c r="B5" s="51"/>
      <c r="C5" s="51"/>
      <c r="D5" s="51"/>
      <c r="E5" s="51"/>
      <c r="F5" s="70"/>
      <c r="G5" s="11" t="s">
        <v>20</v>
      </c>
      <c r="H5" s="12">
        <f>COUNTIF($A:$F, "*공기업*")</f>
        <v>6</v>
      </c>
      <c r="I5" s="20" t="s">
        <v>21</v>
      </c>
      <c r="J5" s="12">
        <f>COUNTIF($A:$F, "*김미령*")</f>
        <v>0</v>
      </c>
    </row>
    <row r="6">
      <c r="A6" s="51"/>
      <c r="B6" s="51"/>
      <c r="C6" s="51"/>
      <c r="D6" s="51"/>
      <c r="E6" s="51"/>
      <c r="F6" s="78" t="s">
        <v>92</v>
      </c>
      <c r="G6" s="11" t="s">
        <v>22</v>
      </c>
      <c r="H6" s="12">
        <f>COUNTIF($A:$F, "*외국계*")</f>
        <v>7</v>
      </c>
      <c r="I6" s="20" t="s">
        <v>23</v>
      </c>
      <c r="J6" s="12">
        <f>COUNTIF($A:$F, "*김민경*")</f>
        <v>11</v>
      </c>
    </row>
    <row r="7">
      <c r="A7" s="51"/>
      <c r="B7" s="51"/>
      <c r="C7" s="51"/>
      <c r="D7" s="51"/>
      <c r="E7" s="51"/>
      <c r="F7" s="79" t="s">
        <v>93</v>
      </c>
      <c r="G7" s="11" t="s">
        <v>25</v>
      </c>
      <c r="H7" s="12">
        <f>COUNTIF($A:$F, "*이공계*")</f>
        <v>20</v>
      </c>
      <c r="I7" s="20" t="s">
        <v>26</v>
      </c>
      <c r="J7" s="12">
        <f>COUNTIF($A:$F, "*김선화*")</f>
        <v>8</v>
      </c>
    </row>
    <row r="8">
      <c r="A8" s="51"/>
      <c r="B8" s="51"/>
      <c r="C8" s="51"/>
      <c r="D8" s="51"/>
      <c r="E8" s="51"/>
      <c r="F8" s="80" t="s">
        <v>94</v>
      </c>
      <c r="G8" s="11" t="s">
        <v>29</v>
      </c>
      <c r="H8" s="12">
        <f>COUNTIF($A:$F, "*콘텐츠*")</f>
        <v>6</v>
      </c>
      <c r="I8" s="20" t="s">
        <v>30</v>
      </c>
      <c r="J8" s="12">
        <f>COUNTIF($A:$F, "*김세희*")</f>
        <v>9</v>
      </c>
    </row>
    <row r="9">
      <c r="A9" s="51"/>
      <c r="B9" s="51"/>
      <c r="C9" s="51"/>
      <c r="D9" s="51"/>
      <c r="E9" s="51"/>
      <c r="F9" s="81"/>
      <c r="G9" s="11" t="s">
        <v>33</v>
      </c>
      <c r="H9" s="12">
        <f>COUNTIF($A:$F, "*금융*")</f>
        <v>0</v>
      </c>
      <c r="I9" s="20" t="s">
        <v>34</v>
      </c>
      <c r="J9" s="12">
        <f>COUNTIF($A:$F, "*김지현*")</f>
        <v>11</v>
      </c>
    </row>
    <row r="10">
      <c r="A10" s="51"/>
      <c r="B10" s="51"/>
      <c r="C10" s="51"/>
      <c r="D10" s="51"/>
      <c r="E10" s="51"/>
      <c r="F10" s="51"/>
      <c r="G10" s="34" t="s">
        <v>37</v>
      </c>
      <c r="H10" s="12">
        <f>COUNTIF($A:$F, "*IT*")</f>
        <v>0</v>
      </c>
      <c r="I10" s="20" t="s">
        <v>38</v>
      </c>
      <c r="J10" s="12">
        <f>COUNTIF($A:$F, "*범하나*")</f>
        <v>11</v>
      </c>
    </row>
    <row r="11">
      <c r="A11" s="51"/>
      <c r="B11" s="51"/>
      <c r="C11" s="51"/>
      <c r="D11" s="51"/>
      <c r="E11" s="51"/>
      <c r="F11" s="47"/>
      <c r="G11" s="11" t="s">
        <v>40</v>
      </c>
      <c r="H11" s="12">
        <f>COUNTIF($A:$F, "*임원면접*")</f>
        <v>9</v>
      </c>
      <c r="I11" s="20" t="s">
        <v>41</v>
      </c>
      <c r="J11" s="12">
        <f>COUNTIF($A:$F, "*성지우*")</f>
        <v>5</v>
      </c>
    </row>
    <row r="12">
      <c r="A12" s="51"/>
      <c r="B12" s="51"/>
      <c r="C12" s="51"/>
      <c r="D12" s="51"/>
      <c r="E12" s="51"/>
      <c r="F12" s="51"/>
      <c r="G12" s="37" t="s">
        <v>44</v>
      </c>
      <c r="H12" s="38">
        <f>sum(H3:H11)</f>
        <v>177</v>
      </c>
      <c r="I12" s="20" t="s">
        <v>45</v>
      </c>
      <c r="J12" s="12">
        <f>COUNTIF($A:$F, "*신민이*")</f>
        <v>10</v>
      </c>
    </row>
    <row r="13">
      <c r="A13" s="51"/>
      <c r="B13" s="51"/>
      <c r="C13" s="51"/>
      <c r="D13" s="51"/>
      <c r="E13" s="51"/>
      <c r="F13" s="51"/>
      <c r="I13" s="20" t="s">
        <v>49</v>
      </c>
      <c r="J13" s="12">
        <f>COUNTIF($A:$F, "*심영섭*")</f>
        <v>21</v>
      </c>
    </row>
    <row r="14">
      <c r="A14" s="51"/>
      <c r="B14" s="51"/>
      <c r="C14" s="51"/>
      <c r="D14" s="51"/>
      <c r="E14" s="51"/>
      <c r="F14" s="47"/>
      <c r="I14" s="20" t="s">
        <v>52</v>
      </c>
      <c r="J14" s="12">
        <f>COUNTIF($A:$F, "*양우석*")</f>
        <v>9</v>
      </c>
    </row>
    <row r="15">
      <c r="A15" s="51"/>
      <c r="B15" s="51"/>
      <c r="C15" s="51"/>
      <c r="D15" s="51"/>
      <c r="E15" s="56"/>
      <c r="F15" s="47"/>
      <c r="I15" s="20" t="s">
        <v>53</v>
      </c>
      <c r="J15" s="12">
        <f>COUNTIF($A:$F, "*이상환*")</f>
        <v>6</v>
      </c>
    </row>
    <row r="16">
      <c r="A16" s="51"/>
      <c r="B16" s="51"/>
      <c r="C16" s="51"/>
      <c r="D16" s="51"/>
      <c r="E16" s="51"/>
      <c r="F16" s="47"/>
      <c r="I16" s="20" t="s">
        <v>55</v>
      </c>
      <c r="J16" s="12">
        <f>COUNTIF($A:$F, "*이주환*")</f>
        <v>0</v>
      </c>
    </row>
    <row r="17">
      <c r="A17" s="51"/>
      <c r="B17" s="51"/>
      <c r="C17" s="51"/>
      <c r="D17" s="51"/>
      <c r="E17" s="56"/>
      <c r="F17" s="47"/>
      <c r="I17" s="20" t="s">
        <v>57</v>
      </c>
      <c r="J17" s="12">
        <f>COUNTIF($A:$F, "*이하영*")</f>
        <v>0</v>
      </c>
    </row>
    <row r="18">
      <c r="A18" s="51"/>
      <c r="B18" s="51"/>
      <c r="C18" s="51"/>
      <c r="D18" s="51"/>
      <c r="E18" s="51"/>
      <c r="F18" s="47"/>
      <c r="I18" s="20" t="s">
        <v>58</v>
      </c>
      <c r="J18" s="12">
        <f>COUNTIF($A:$F, "*이효숙*")</f>
        <v>0</v>
      </c>
    </row>
    <row r="19">
      <c r="A19" s="75"/>
      <c r="B19" s="75"/>
      <c r="C19" s="75"/>
      <c r="D19" s="75"/>
      <c r="E19" s="75"/>
      <c r="F19" s="75"/>
      <c r="I19" s="20" t="s">
        <v>59</v>
      </c>
      <c r="J19" s="12">
        <f>COUNTIF($A:$F, "*이희영*")</f>
        <v>21</v>
      </c>
    </row>
    <row r="20">
      <c r="A20" s="76">
        <v>3.0</v>
      </c>
      <c r="B20" s="76">
        <v>4.0</v>
      </c>
      <c r="C20" s="8">
        <v>5.0</v>
      </c>
      <c r="D20" s="76">
        <v>6.0</v>
      </c>
      <c r="E20" s="8">
        <v>7.0</v>
      </c>
      <c r="F20" s="8">
        <v>8.0</v>
      </c>
      <c r="I20" s="20" t="s">
        <v>60</v>
      </c>
      <c r="J20" s="12">
        <f>COUNTIF($A:$F, "*장신혜*")</f>
        <v>11</v>
      </c>
    </row>
    <row r="21">
      <c r="A21" s="14" t="s">
        <v>95</v>
      </c>
      <c r="B21" s="22"/>
      <c r="C21" s="21" t="s">
        <v>10</v>
      </c>
      <c r="D21" s="17" t="s">
        <v>11</v>
      </c>
      <c r="E21" s="18" t="s">
        <v>12</v>
      </c>
      <c r="F21" s="19"/>
      <c r="I21" s="20" t="s">
        <v>61</v>
      </c>
      <c r="J21" s="12">
        <f>COUNTIF($A:$F, "*정지선*")</f>
        <v>14</v>
      </c>
    </row>
    <row r="22">
      <c r="A22" s="14" t="s">
        <v>96</v>
      </c>
      <c r="B22" s="22"/>
      <c r="C22" s="21" t="s">
        <v>17</v>
      </c>
      <c r="D22" s="21" t="s">
        <v>18</v>
      </c>
      <c r="E22" s="18" t="s">
        <v>19</v>
      </c>
      <c r="F22" s="26"/>
      <c r="I22" s="20" t="s">
        <v>62</v>
      </c>
      <c r="J22" s="12">
        <f>COUNTIF($A:$F, "*지명선*")</f>
        <v>2</v>
      </c>
    </row>
    <row r="23">
      <c r="A23" s="82" t="s">
        <v>97</v>
      </c>
      <c r="B23" s="23"/>
      <c r="C23" s="65"/>
      <c r="D23" s="23"/>
      <c r="E23" s="18" t="s">
        <v>98</v>
      </c>
      <c r="F23" s="23"/>
      <c r="I23" s="20" t="s">
        <v>63</v>
      </c>
      <c r="J23" s="12">
        <f>COUNTIF($A:$F, "*최은주*")</f>
        <v>0</v>
      </c>
    </row>
    <row r="24">
      <c r="A24" s="83"/>
      <c r="B24" s="24"/>
      <c r="C24" s="19"/>
      <c r="D24" s="25"/>
      <c r="E24" s="84" t="s">
        <v>99</v>
      </c>
      <c r="F24" s="35"/>
      <c r="I24" s="20"/>
      <c r="J24" s="12"/>
    </row>
    <row r="25">
      <c r="A25" s="83"/>
      <c r="B25" s="24"/>
      <c r="C25" s="19"/>
      <c r="D25" s="85" t="s">
        <v>100</v>
      </c>
      <c r="E25" s="25"/>
      <c r="F25" s="86" t="s">
        <v>101</v>
      </c>
      <c r="I25" s="20" t="s">
        <v>65</v>
      </c>
      <c r="J25" s="12">
        <f>COUNTIF($A:$F, "*한 나*")</f>
        <v>8</v>
      </c>
    </row>
    <row r="26">
      <c r="A26" s="83"/>
      <c r="B26" s="17" t="s">
        <v>102</v>
      </c>
      <c r="C26" s="19"/>
      <c r="D26" s="85" t="s">
        <v>103</v>
      </c>
      <c r="E26" s="30"/>
      <c r="F26" s="86" t="s">
        <v>104</v>
      </c>
      <c r="I26" s="20" t="s">
        <v>66</v>
      </c>
      <c r="J26" s="12">
        <f>COUNTIF($A:$F, "*민현정*")</f>
        <v>0</v>
      </c>
    </row>
    <row r="27">
      <c r="A27" s="83"/>
      <c r="B27" s="21" t="s">
        <v>105</v>
      </c>
      <c r="C27" s="65"/>
      <c r="D27" s="25"/>
      <c r="E27" s="16" t="s">
        <v>32</v>
      </c>
      <c r="F27" s="86" t="s">
        <v>106</v>
      </c>
      <c r="I27" s="54" t="s">
        <v>44</v>
      </c>
      <c r="J27" s="38">
        <f>sum(J3:J26)</f>
        <v>177</v>
      </c>
    </row>
    <row r="28">
      <c r="A28" s="87" t="s">
        <v>107</v>
      </c>
      <c r="B28" s="21" t="s">
        <v>108</v>
      </c>
      <c r="C28" s="88" t="s">
        <v>109</v>
      </c>
      <c r="D28" s="15" t="s">
        <v>43</v>
      </c>
      <c r="E28" s="16" t="s">
        <v>36</v>
      </c>
      <c r="F28" s="22"/>
    </row>
    <row r="29">
      <c r="A29" s="87" t="s">
        <v>110</v>
      </c>
      <c r="B29" s="33"/>
      <c r="C29" s="88" t="s">
        <v>111</v>
      </c>
      <c r="D29" s="15" t="s">
        <v>47</v>
      </c>
      <c r="E29" s="21" t="s">
        <v>112</v>
      </c>
      <c r="F29" s="18" t="s">
        <v>12</v>
      </c>
    </row>
    <row r="30">
      <c r="A30" s="87" t="s">
        <v>113</v>
      </c>
      <c r="B30" s="33"/>
      <c r="C30" s="88" t="s">
        <v>114</v>
      </c>
      <c r="D30" s="89" t="s">
        <v>115</v>
      </c>
      <c r="E30" s="36"/>
      <c r="F30" s="18" t="s">
        <v>19</v>
      </c>
    </row>
    <row r="31">
      <c r="A31" s="90"/>
      <c r="B31" s="16" t="s">
        <v>116</v>
      </c>
      <c r="C31" s="65"/>
      <c r="D31" s="22"/>
      <c r="E31" s="33"/>
      <c r="F31" s="18" t="s">
        <v>98</v>
      </c>
    </row>
    <row r="32">
      <c r="A32" s="19"/>
      <c r="B32" s="16" t="s">
        <v>117</v>
      </c>
      <c r="C32" s="65"/>
      <c r="D32" s="91" t="s">
        <v>118</v>
      </c>
      <c r="E32" s="31" t="s">
        <v>119</v>
      </c>
      <c r="F32" s="22"/>
    </row>
    <row r="33">
      <c r="A33" s="22"/>
      <c r="B33" s="16" t="s">
        <v>120</v>
      </c>
      <c r="C33" s="35"/>
      <c r="D33" s="91" t="s">
        <v>121</v>
      </c>
      <c r="E33" s="31" t="s">
        <v>122</v>
      </c>
      <c r="F33" s="52" t="s">
        <v>123</v>
      </c>
    </row>
    <row r="34">
      <c r="A34" s="35"/>
      <c r="B34" s="25"/>
      <c r="C34" s="35"/>
      <c r="D34" s="25"/>
      <c r="E34" s="31" t="s">
        <v>124</v>
      </c>
      <c r="F34" s="52" t="s">
        <v>125</v>
      </c>
    </row>
    <row r="35">
      <c r="A35" s="35"/>
      <c r="B35" s="33"/>
      <c r="C35" s="33"/>
      <c r="D35" s="24"/>
      <c r="E35" s="68"/>
      <c r="F35" s="52" t="s">
        <v>126</v>
      </c>
    </row>
    <row r="36">
      <c r="A36" s="23"/>
      <c r="B36" s="92" t="s">
        <v>127</v>
      </c>
      <c r="C36" s="92" t="s">
        <v>127</v>
      </c>
      <c r="D36" s="92" t="s">
        <v>127</v>
      </c>
      <c r="E36" s="91" t="s">
        <v>128</v>
      </c>
      <c r="F36" s="41"/>
    </row>
    <row r="37">
      <c r="A37" s="23"/>
      <c r="B37" s="42"/>
      <c r="C37" s="42"/>
      <c r="D37" s="24"/>
      <c r="E37" s="40"/>
      <c r="F37" s="19"/>
    </row>
    <row r="38">
      <c r="A38" s="59"/>
      <c r="B38" s="93"/>
      <c r="C38" s="35"/>
      <c r="D38" s="94" t="s">
        <v>129</v>
      </c>
      <c r="E38" s="95"/>
      <c r="F38" s="46"/>
    </row>
    <row r="39">
      <c r="A39" s="59"/>
      <c r="B39" s="93"/>
      <c r="C39" s="35"/>
      <c r="D39" s="94" t="s">
        <v>48</v>
      </c>
      <c r="E39" s="95"/>
      <c r="F39" s="46"/>
    </row>
    <row r="40">
      <c r="A40" s="96"/>
      <c r="B40" s="96"/>
      <c r="C40" s="96"/>
      <c r="D40" s="96"/>
      <c r="E40" s="75"/>
      <c r="F40" s="75"/>
    </row>
    <row r="41">
      <c r="A41" s="97">
        <v>10.0</v>
      </c>
      <c r="B41" s="97">
        <v>11.0</v>
      </c>
      <c r="C41" s="9">
        <v>12.0</v>
      </c>
      <c r="D41" s="97">
        <v>13.0</v>
      </c>
      <c r="E41" s="9">
        <v>14.0</v>
      </c>
      <c r="F41" s="9">
        <v>15.0</v>
      </c>
    </row>
    <row r="42">
      <c r="A42" s="14" t="s">
        <v>130</v>
      </c>
      <c r="B42" s="98" t="s">
        <v>131</v>
      </c>
      <c r="C42" s="21" t="s">
        <v>10</v>
      </c>
      <c r="D42" s="99" t="s">
        <v>11</v>
      </c>
      <c r="E42" s="100" t="s">
        <v>12</v>
      </c>
      <c r="F42" s="83"/>
    </row>
    <row r="43">
      <c r="A43" s="14" t="s">
        <v>132</v>
      </c>
      <c r="B43" s="98"/>
      <c r="C43" s="21" t="s">
        <v>17</v>
      </c>
      <c r="D43" s="101" t="s">
        <v>18</v>
      </c>
      <c r="E43" s="100" t="s">
        <v>19</v>
      </c>
      <c r="F43" s="90"/>
    </row>
    <row r="44">
      <c r="A44" s="82" t="s">
        <v>133</v>
      </c>
      <c r="B44" s="102" t="s">
        <v>134</v>
      </c>
      <c r="C44" s="83"/>
      <c r="D44" s="70"/>
      <c r="E44" s="100" t="s">
        <v>98</v>
      </c>
      <c r="F44" s="103"/>
    </row>
    <row r="45">
      <c r="A45" s="83"/>
      <c r="B45" s="83"/>
      <c r="C45" s="19"/>
      <c r="D45" s="85" t="s">
        <v>100</v>
      </c>
      <c r="E45" s="104"/>
      <c r="F45" s="105"/>
    </row>
    <row r="46">
      <c r="A46" s="83"/>
      <c r="B46" s="99" t="s">
        <v>135</v>
      </c>
      <c r="C46" s="52" t="s">
        <v>136</v>
      </c>
      <c r="D46" s="85" t="s">
        <v>103</v>
      </c>
      <c r="E46" s="106"/>
      <c r="F46" s="107" t="s">
        <v>101</v>
      </c>
    </row>
    <row r="47">
      <c r="A47" s="83"/>
      <c r="B47" s="101" t="s">
        <v>137</v>
      </c>
      <c r="C47" s="83"/>
      <c r="D47" s="104"/>
      <c r="E47" s="87" t="s">
        <v>32</v>
      </c>
      <c r="F47" s="107" t="s">
        <v>104</v>
      </c>
    </row>
    <row r="48">
      <c r="A48" s="87" t="s">
        <v>138</v>
      </c>
      <c r="B48" s="101" t="s">
        <v>139</v>
      </c>
      <c r="C48" s="108" t="s">
        <v>140</v>
      </c>
      <c r="D48" s="90"/>
      <c r="E48" s="87" t="s">
        <v>36</v>
      </c>
      <c r="F48" s="107" t="s">
        <v>106</v>
      </c>
    </row>
    <row r="49">
      <c r="A49" s="87" t="s">
        <v>141</v>
      </c>
      <c r="B49" s="90"/>
      <c r="C49" s="108" t="s">
        <v>142</v>
      </c>
      <c r="D49" s="90"/>
      <c r="E49" s="101" t="s">
        <v>112</v>
      </c>
      <c r="F49" s="109"/>
    </row>
    <row r="50">
      <c r="A50" s="87" t="s">
        <v>143</v>
      </c>
      <c r="B50" s="110"/>
      <c r="C50" s="108" t="s">
        <v>144</v>
      </c>
      <c r="D50" s="111"/>
      <c r="E50" s="111"/>
      <c r="F50" s="112"/>
    </row>
    <row r="51">
      <c r="A51" s="19"/>
      <c r="B51" s="90"/>
      <c r="C51" s="113"/>
      <c r="D51" s="98" t="s">
        <v>43</v>
      </c>
      <c r="E51" s="114" t="s">
        <v>145</v>
      </c>
      <c r="F51" s="18" t="s">
        <v>12</v>
      </c>
    </row>
    <row r="52">
      <c r="A52" s="90"/>
      <c r="B52" s="87" t="s">
        <v>146</v>
      </c>
      <c r="C52" s="83"/>
      <c r="D52" s="98" t="s">
        <v>47</v>
      </c>
      <c r="E52" s="114" t="s">
        <v>147</v>
      </c>
      <c r="F52" s="18" t="s">
        <v>19</v>
      </c>
    </row>
    <row r="53">
      <c r="A53" s="19"/>
      <c r="B53" s="87" t="s">
        <v>148</v>
      </c>
      <c r="C53" s="83"/>
      <c r="D53" s="102" t="s">
        <v>115</v>
      </c>
      <c r="E53" s="114" t="s">
        <v>149</v>
      </c>
      <c r="F53" s="18" t="s">
        <v>98</v>
      </c>
    </row>
    <row r="54">
      <c r="A54" s="19"/>
      <c r="B54" s="87" t="s">
        <v>150</v>
      </c>
      <c r="C54" s="113"/>
      <c r="D54" s="90"/>
      <c r="E54" s="52" t="s">
        <v>151</v>
      </c>
      <c r="F54" s="83"/>
    </row>
    <row r="55">
      <c r="A55" s="19"/>
      <c r="B55" s="19"/>
      <c r="C55" s="113"/>
      <c r="D55" s="90"/>
      <c r="E55" s="115"/>
      <c r="F55" s="83"/>
    </row>
    <row r="56">
      <c r="A56" s="116"/>
      <c r="B56" s="104"/>
      <c r="C56" s="104"/>
      <c r="D56" s="117"/>
      <c r="E56" s="115"/>
      <c r="F56" s="19"/>
    </row>
    <row r="57">
      <c r="A57" s="116"/>
      <c r="B57" s="90"/>
      <c r="C57" s="90"/>
      <c r="D57" s="66" t="s">
        <v>152</v>
      </c>
      <c r="E57" s="118"/>
      <c r="F57" s="110"/>
    </row>
    <row r="58">
      <c r="A58" s="116"/>
      <c r="B58" s="119" t="s">
        <v>127</v>
      </c>
      <c r="C58" s="119" t="s">
        <v>127</v>
      </c>
      <c r="D58" s="104"/>
      <c r="E58" s="31" t="s">
        <v>153</v>
      </c>
      <c r="F58" s="110"/>
    </row>
    <row r="59">
      <c r="A59" s="70"/>
      <c r="B59" s="120"/>
      <c r="C59" s="120"/>
      <c r="D59" s="83"/>
      <c r="E59" s="31" t="s">
        <v>154</v>
      </c>
      <c r="F59" s="19"/>
    </row>
    <row r="60">
      <c r="A60" s="44"/>
      <c r="B60" s="95"/>
      <c r="C60" s="95"/>
      <c r="D60" s="46"/>
      <c r="E60" s="31" t="s">
        <v>155</v>
      </c>
      <c r="F60" s="45"/>
    </row>
    <row r="61">
      <c r="A61" s="44"/>
      <c r="B61" s="45"/>
      <c r="C61" s="95"/>
      <c r="D61" s="46"/>
      <c r="E61" s="46"/>
      <c r="F61" s="121"/>
    </row>
    <row r="62">
      <c r="A62" s="10">
        <v>17.0</v>
      </c>
      <c r="B62" s="10">
        <v>18.0</v>
      </c>
      <c r="C62" s="9">
        <v>19.0</v>
      </c>
      <c r="D62" s="10">
        <v>20.0</v>
      </c>
      <c r="E62" s="9">
        <v>21.0</v>
      </c>
      <c r="F62" s="9">
        <v>22.0</v>
      </c>
    </row>
    <row r="63">
      <c r="A63" s="14" t="s">
        <v>156</v>
      </c>
      <c r="B63" s="98" t="s">
        <v>157</v>
      </c>
      <c r="C63" s="21" t="s">
        <v>10</v>
      </c>
      <c r="D63" s="99" t="s">
        <v>11</v>
      </c>
      <c r="E63" s="100" t="s">
        <v>12</v>
      </c>
      <c r="F63" s="82" t="s">
        <v>92</v>
      </c>
    </row>
    <row r="64">
      <c r="A64" s="14" t="s">
        <v>158</v>
      </c>
      <c r="B64" s="98" t="s">
        <v>159</v>
      </c>
      <c r="C64" s="21" t="s">
        <v>17</v>
      </c>
      <c r="D64" s="101" t="s">
        <v>18</v>
      </c>
      <c r="E64" s="100" t="s">
        <v>19</v>
      </c>
      <c r="F64" s="122" t="s">
        <v>93</v>
      </c>
    </row>
    <row r="65">
      <c r="A65" s="82" t="s">
        <v>160</v>
      </c>
      <c r="B65" s="102" t="s">
        <v>161</v>
      </c>
      <c r="C65" s="65"/>
      <c r="D65" s="70"/>
      <c r="E65" s="100" t="s">
        <v>98</v>
      </c>
      <c r="F65" s="14" t="s">
        <v>94</v>
      </c>
    </row>
    <row r="66">
      <c r="A66" s="83"/>
      <c r="B66" s="65"/>
      <c r="C66" s="19"/>
      <c r="D66" s="85" t="s">
        <v>100</v>
      </c>
      <c r="E66" s="25"/>
      <c r="F66" s="33"/>
    </row>
    <row r="67">
      <c r="A67" s="83"/>
      <c r="B67" s="99" t="s">
        <v>162</v>
      </c>
      <c r="C67" s="19"/>
      <c r="D67" s="85" t="s">
        <v>103</v>
      </c>
      <c r="E67" s="30"/>
      <c r="F67" s="86" t="s">
        <v>101</v>
      </c>
    </row>
    <row r="68">
      <c r="A68" s="83"/>
      <c r="B68" s="101" t="s">
        <v>163</v>
      </c>
      <c r="C68" s="65"/>
      <c r="D68" s="25"/>
      <c r="E68" s="16" t="s">
        <v>32</v>
      </c>
      <c r="F68" s="86" t="s">
        <v>104</v>
      </c>
    </row>
    <row r="69">
      <c r="A69" s="19"/>
      <c r="B69" s="101" t="s">
        <v>164</v>
      </c>
      <c r="C69" s="88" t="s">
        <v>165</v>
      </c>
      <c r="D69" s="33"/>
      <c r="E69" s="16" t="s">
        <v>36</v>
      </c>
      <c r="F69" s="21" t="s">
        <v>166</v>
      </c>
    </row>
    <row r="70">
      <c r="A70" s="19"/>
      <c r="B70" s="28"/>
      <c r="C70" s="88" t="s">
        <v>167</v>
      </c>
      <c r="D70" s="33"/>
      <c r="E70" s="21" t="s">
        <v>112</v>
      </c>
      <c r="F70" s="22"/>
    </row>
    <row r="71">
      <c r="A71" s="19"/>
      <c r="B71" s="28"/>
      <c r="C71" s="88" t="s">
        <v>168</v>
      </c>
      <c r="D71" s="98" t="s">
        <v>43</v>
      </c>
      <c r="E71" s="26"/>
      <c r="F71" s="18" t="s">
        <v>12</v>
      </c>
    </row>
    <row r="72">
      <c r="A72" s="90"/>
      <c r="B72" s="87" t="s">
        <v>169</v>
      </c>
      <c r="C72" s="65"/>
      <c r="D72" s="98" t="s">
        <v>47</v>
      </c>
      <c r="E72" s="28"/>
      <c r="F72" s="18" t="s">
        <v>19</v>
      </c>
    </row>
    <row r="73">
      <c r="A73" s="19"/>
      <c r="B73" s="87" t="s">
        <v>170</v>
      </c>
      <c r="C73" s="65"/>
      <c r="D73" s="102" t="s">
        <v>115</v>
      </c>
      <c r="E73" s="31" t="s">
        <v>171</v>
      </c>
      <c r="F73" s="18" t="s">
        <v>98</v>
      </c>
    </row>
    <row r="74">
      <c r="A74" s="19"/>
      <c r="B74" s="87" t="s">
        <v>172</v>
      </c>
      <c r="C74" s="123"/>
      <c r="D74" s="28"/>
      <c r="E74" s="31" t="s">
        <v>173</v>
      </c>
      <c r="F74" s="22"/>
    </row>
    <row r="75">
      <c r="A75" s="35"/>
      <c r="B75" s="25"/>
      <c r="C75" s="35"/>
      <c r="D75" s="104"/>
      <c r="E75" s="31" t="s">
        <v>174</v>
      </c>
      <c r="F75" s="19"/>
    </row>
    <row r="76">
      <c r="A76" s="124" t="s">
        <v>127</v>
      </c>
      <c r="B76" s="92" t="s">
        <v>127</v>
      </c>
      <c r="C76" s="92" t="s">
        <v>127</v>
      </c>
      <c r="D76" s="119" t="s">
        <v>127</v>
      </c>
      <c r="E76" s="68"/>
      <c r="F76" s="125" t="s">
        <v>175</v>
      </c>
    </row>
    <row r="77">
      <c r="A77" s="23"/>
      <c r="B77" s="33"/>
      <c r="C77" s="42"/>
      <c r="D77" s="65"/>
      <c r="F77" s="41"/>
    </row>
    <row r="78">
      <c r="A78" s="23"/>
      <c r="B78" s="25"/>
      <c r="C78" s="35"/>
      <c r="D78" s="94" t="s">
        <v>129</v>
      </c>
      <c r="E78" s="40"/>
      <c r="F78" s="19"/>
    </row>
    <row r="79">
      <c r="A79" s="59"/>
      <c r="B79" s="93"/>
      <c r="C79" s="35"/>
      <c r="D79" s="94" t="s">
        <v>48</v>
      </c>
      <c r="E79" s="46"/>
      <c r="F79" s="46"/>
    </row>
    <row r="80">
      <c r="A80" s="44"/>
      <c r="B80" s="45"/>
      <c r="C80" s="45"/>
      <c r="D80" s="46"/>
      <c r="E80" s="46"/>
      <c r="F80" s="46"/>
    </row>
    <row r="81">
      <c r="A81" s="75"/>
      <c r="B81" s="51"/>
      <c r="C81" s="75"/>
      <c r="D81" s="75"/>
      <c r="E81" s="75"/>
      <c r="F81" s="75"/>
    </row>
    <row r="82">
      <c r="A82" s="10">
        <v>24.0</v>
      </c>
      <c r="B82" s="10">
        <v>25.0</v>
      </c>
      <c r="C82" s="10">
        <v>26.0</v>
      </c>
      <c r="D82" s="10">
        <v>27.0</v>
      </c>
      <c r="E82" s="10">
        <v>28.0</v>
      </c>
      <c r="F82" s="9">
        <v>29.0</v>
      </c>
    </row>
    <row r="83">
      <c r="A83" s="126" t="s">
        <v>176</v>
      </c>
      <c r="B83" s="19"/>
      <c r="C83" s="21" t="s">
        <v>10</v>
      </c>
      <c r="D83" s="127" t="s">
        <v>177</v>
      </c>
      <c r="E83" s="100" t="s">
        <v>12</v>
      </c>
      <c r="F83" s="128" t="s">
        <v>92</v>
      </c>
    </row>
    <row r="84">
      <c r="A84" s="14" t="s">
        <v>178</v>
      </c>
      <c r="B84" s="19"/>
      <c r="C84" s="21" t="s">
        <v>17</v>
      </c>
      <c r="D84" s="70"/>
      <c r="E84" s="100" t="s">
        <v>19</v>
      </c>
      <c r="F84" s="129" t="s">
        <v>93</v>
      </c>
    </row>
    <row r="85">
      <c r="A85" s="70"/>
      <c r="B85" s="65"/>
      <c r="C85" s="65"/>
      <c r="D85" s="70"/>
      <c r="E85" s="104"/>
      <c r="F85" s="130" t="s">
        <v>94</v>
      </c>
    </row>
    <row r="86">
      <c r="A86" s="65"/>
      <c r="B86" s="65"/>
      <c r="C86" s="19"/>
      <c r="D86" s="101" t="s">
        <v>179</v>
      </c>
      <c r="E86" s="104"/>
      <c r="F86" s="131"/>
    </row>
    <row r="87">
      <c r="A87" s="65"/>
      <c r="B87" s="101" t="s">
        <v>180</v>
      </c>
      <c r="C87" s="19"/>
      <c r="D87" s="101" t="s">
        <v>18</v>
      </c>
      <c r="E87" s="132"/>
      <c r="F87" s="133"/>
    </row>
    <row r="88">
      <c r="A88" s="65"/>
      <c r="B88" s="101" t="s">
        <v>181</v>
      </c>
      <c r="C88" s="65"/>
      <c r="D88" s="104"/>
      <c r="E88" s="16" t="s">
        <v>32</v>
      </c>
      <c r="F88" s="133"/>
    </row>
    <row r="89">
      <c r="A89" s="21"/>
      <c r="B89" s="70"/>
      <c r="C89" s="88" t="s">
        <v>182</v>
      </c>
      <c r="D89" s="28"/>
      <c r="E89" s="16" t="s">
        <v>36</v>
      </c>
      <c r="F89" s="133"/>
    </row>
    <row r="90">
      <c r="A90" s="21" t="s">
        <v>183</v>
      </c>
      <c r="B90" s="28"/>
      <c r="C90" s="88" t="s">
        <v>184</v>
      </c>
      <c r="D90" s="28"/>
      <c r="E90" s="23"/>
      <c r="F90" s="19"/>
    </row>
    <row r="91">
      <c r="A91" s="134"/>
      <c r="B91" s="28"/>
      <c r="C91" s="40"/>
      <c r="D91" s="19"/>
      <c r="E91" s="31" t="s">
        <v>185</v>
      </c>
      <c r="F91" s="28"/>
    </row>
    <row r="92">
      <c r="A92" s="135" t="s">
        <v>186</v>
      </c>
      <c r="B92" s="87" t="s">
        <v>187</v>
      </c>
      <c r="C92" s="65"/>
      <c r="D92" s="19"/>
      <c r="E92" s="31" t="s">
        <v>188</v>
      </c>
      <c r="F92" s="19"/>
    </row>
    <row r="93">
      <c r="A93" s="135" t="s">
        <v>189</v>
      </c>
      <c r="B93" s="87" t="s">
        <v>190</v>
      </c>
      <c r="C93" s="65"/>
      <c r="D93" s="28"/>
      <c r="E93" s="28"/>
      <c r="F93" s="19"/>
    </row>
    <row r="94">
      <c r="A94" s="19"/>
      <c r="B94" s="19"/>
      <c r="C94" s="40"/>
      <c r="D94" s="28"/>
      <c r="E94" s="67" t="s">
        <v>82</v>
      </c>
      <c r="F94" s="19"/>
    </row>
    <row r="95">
      <c r="A95" s="23"/>
      <c r="B95" s="65"/>
      <c r="C95" s="104"/>
      <c r="D95" s="104"/>
      <c r="E95" s="67"/>
      <c r="F95" s="19"/>
    </row>
    <row r="96">
      <c r="A96" s="23"/>
      <c r="B96" s="28"/>
      <c r="C96" s="28"/>
      <c r="D96" s="65"/>
      <c r="E96" s="68"/>
      <c r="F96" s="41"/>
    </row>
    <row r="97">
      <c r="A97" s="116"/>
      <c r="B97" s="28"/>
      <c r="C97" s="69"/>
      <c r="D97" s="65"/>
      <c r="F97" s="41"/>
    </row>
    <row r="98">
      <c r="A98" s="70"/>
      <c r="B98" s="69"/>
      <c r="C98" s="69"/>
      <c r="D98" s="65"/>
      <c r="E98" s="40"/>
      <c r="F98" s="19"/>
    </row>
    <row r="99">
      <c r="A99" s="44"/>
      <c r="B99" s="45"/>
      <c r="C99" s="45"/>
      <c r="D99" s="46"/>
      <c r="E99" s="46"/>
      <c r="F99" s="46"/>
    </row>
    <row r="100">
      <c r="A100" s="44"/>
      <c r="B100" s="45"/>
      <c r="C100" s="45"/>
      <c r="D100" s="46"/>
      <c r="E100" s="46"/>
      <c r="F100" s="46"/>
    </row>
    <row r="101">
      <c r="A101" s="75"/>
      <c r="B101" s="75"/>
      <c r="C101" s="75"/>
      <c r="D101" s="75"/>
      <c r="E101" s="75"/>
      <c r="F101" s="75"/>
    </row>
  </sheetData>
  <mergeCells count="1">
    <mergeCell ref="A1:F1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29.71"/>
    <col customWidth="1" min="3" max="3" width="28.71"/>
    <col customWidth="1" min="4" max="4" width="27.14"/>
    <col customWidth="1" min="5" max="6" width="32.43"/>
    <col customWidth="1" min="7" max="7" width="9.57"/>
    <col customWidth="1" min="8" max="8" width="4.29"/>
    <col customWidth="1" min="9" max="9" width="7.43"/>
    <col customWidth="1" min="10" max="10" width="4.29"/>
  </cols>
  <sheetData>
    <row r="1">
      <c r="A1" s="1">
        <v>45931.0</v>
      </c>
      <c r="B1" s="2"/>
      <c r="C1" s="2"/>
      <c r="D1" s="2"/>
      <c r="E1" s="2"/>
      <c r="F1" s="3"/>
    </row>
    <row r="2">
      <c r="A2" s="136" t="s">
        <v>191</v>
      </c>
      <c r="B2" s="137" t="s">
        <v>192</v>
      </c>
      <c r="C2" s="137" t="s">
        <v>193</v>
      </c>
      <c r="D2" s="137" t="s">
        <v>194</v>
      </c>
      <c r="E2" s="138" t="s">
        <v>195</v>
      </c>
      <c r="F2" s="139" t="s">
        <v>5</v>
      </c>
    </row>
    <row r="3">
      <c r="A3" s="140"/>
      <c r="B3" s="140"/>
      <c r="C3" s="140">
        <v>1.0</v>
      </c>
      <c r="D3" s="140">
        <v>2.0</v>
      </c>
      <c r="E3" s="141">
        <v>3.0</v>
      </c>
      <c r="F3" s="140">
        <v>4.0</v>
      </c>
      <c r="G3" s="11" t="s">
        <v>6</v>
      </c>
      <c r="H3" s="12">
        <f>COUNTIF($A:$F, "*진로개발*")</f>
        <v>15</v>
      </c>
      <c r="I3" s="13" t="s">
        <v>7</v>
      </c>
      <c r="J3" s="12">
        <f>COUNTIF($A:$F, "*강 진*")</f>
        <v>3</v>
      </c>
    </row>
    <row r="4">
      <c r="A4" s="51"/>
      <c r="B4" s="51"/>
      <c r="C4" s="87" t="s">
        <v>10</v>
      </c>
      <c r="D4" s="27" t="s">
        <v>196</v>
      </c>
      <c r="E4" s="142" t="s">
        <v>197</v>
      </c>
      <c r="F4" s="143"/>
      <c r="G4" s="11" t="s">
        <v>13</v>
      </c>
      <c r="H4" s="12">
        <f>COUNTIF($A:$F, "*서류면접*")</f>
        <v>51</v>
      </c>
      <c r="I4" s="20" t="s">
        <v>14</v>
      </c>
      <c r="J4" s="12">
        <f>COUNTIF($A:$F, "*김나영*")</f>
        <v>8</v>
      </c>
    </row>
    <row r="5">
      <c r="A5" s="51"/>
      <c r="B5" s="51"/>
      <c r="C5" s="87" t="s">
        <v>17</v>
      </c>
      <c r="D5" s="101" t="s">
        <v>18</v>
      </c>
      <c r="E5" s="47"/>
      <c r="F5" s="44"/>
      <c r="G5" s="11" t="s">
        <v>20</v>
      </c>
      <c r="H5" s="12">
        <f>COUNTIF($A:$F, "*공기업*")</f>
        <v>3</v>
      </c>
      <c r="I5" s="20" t="s">
        <v>21</v>
      </c>
      <c r="J5" s="12">
        <f>COUNTIF($A:$F, "*김미령*")</f>
        <v>0</v>
      </c>
    </row>
    <row r="6">
      <c r="A6" s="51"/>
      <c r="B6" s="51"/>
      <c r="C6" s="65"/>
      <c r="D6" s="70"/>
      <c r="E6" s="47"/>
      <c r="F6" s="51"/>
      <c r="G6" s="11" t="s">
        <v>22</v>
      </c>
      <c r="H6" s="12">
        <f>COUNTIF($A:$F, "*외국계*")</f>
        <v>4</v>
      </c>
      <c r="I6" s="20" t="s">
        <v>23</v>
      </c>
      <c r="J6" s="12">
        <f>COUNTIF($A:$F, "*김민경*")</f>
        <v>3</v>
      </c>
    </row>
    <row r="7">
      <c r="A7" s="51"/>
      <c r="B7" s="51"/>
      <c r="C7" s="19"/>
      <c r="D7" s="65"/>
      <c r="E7" s="47"/>
      <c r="F7" s="51"/>
      <c r="G7" s="11" t="s">
        <v>25</v>
      </c>
      <c r="H7" s="12">
        <f>COUNTIF($A:$F, "*이공계*")</f>
        <v>3</v>
      </c>
      <c r="I7" s="20" t="s">
        <v>26</v>
      </c>
      <c r="J7" s="12">
        <f>COUNTIF($A:$F, "*김선화*")</f>
        <v>6</v>
      </c>
    </row>
    <row r="8">
      <c r="A8" s="51"/>
      <c r="B8" s="51"/>
      <c r="C8" s="19"/>
      <c r="D8" s="144" t="s">
        <v>198</v>
      </c>
      <c r="E8" s="47"/>
      <c r="F8" s="44"/>
      <c r="G8" s="11" t="s">
        <v>29</v>
      </c>
      <c r="H8" s="12">
        <f>COUNTIF($A:$F, "*콘텐츠*")</f>
        <v>5</v>
      </c>
      <c r="I8" s="20" t="s">
        <v>30</v>
      </c>
      <c r="J8" s="12">
        <f>COUNTIF($A:$F, "*김세희*")</f>
        <v>2</v>
      </c>
    </row>
    <row r="9">
      <c r="A9" s="51"/>
      <c r="B9" s="51"/>
      <c r="C9" s="65"/>
      <c r="D9" s="145" t="s">
        <v>103</v>
      </c>
      <c r="E9" s="47"/>
      <c r="F9" s="44"/>
      <c r="G9" s="11" t="s">
        <v>33</v>
      </c>
      <c r="H9" s="12">
        <f>COUNTIF($A:$F, "*금융*")</f>
        <v>0</v>
      </c>
      <c r="I9" s="20" t="s">
        <v>34</v>
      </c>
      <c r="J9" s="12">
        <f>COUNTIF($A:$F, "*김지현*")</f>
        <v>5</v>
      </c>
    </row>
    <row r="10">
      <c r="A10" s="51"/>
      <c r="B10" s="51"/>
      <c r="C10" s="88" t="s">
        <v>199</v>
      </c>
      <c r="D10" s="28"/>
      <c r="E10" s="47"/>
      <c r="F10" s="44"/>
      <c r="G10" s="34" t="s">
        <v>37</v>
      </c>
      <c r="H10" s="12">
        <f>COUNTIF($A:$F, "*IT*")</f>
        <v>0</v>
      </c>
      <c r="I10" s="20" t="s">
        <v>38</v>
      </c>
      <c r="J10" s="12">
        <f>COUNTIF($A:$F, "*범하나*")</f>
        <v>9</v>
      </c>
    </row>
    <row r="11">
      <c r="A11" s="51"/>
      <c r="B11" s="51"/>
      <c r="C11" s="88" t="s">
        <v>200</v>
      </c>
      <c r="D11" s="28"/>
      <c r="E11" s="47"/>
      <c r="F11" s="44"/>
      <c r="G11" s="11" t="s">
        <v>40</v>
      </c>
      <c r="H11" s="12">
        <f>COUNTIF($A:$F, "*임원면접*")</f>
        <v>0</v>
      </c>
      <c r="I11" s="20" t="s">
        <v>41</v>
      </c>
      <c r="J11" s="12">
        <f>COUNTIF($A:$F, "*성지우*")</f>
        <v>2</v>
      </c>
    </row>
    <row r="12">
      <c r="A12" s="51"/>
      <c r="B12" s="51"/>
      <c r="C12" s="88" t="s">
        <v>201</v>
      </c>
      <c r="D12" s="98" t="s">
        <v>43</v>
      </c>
      <c r="E12" s="47"/>
      <c r="G12" s="37" t="s">
        <v>44</v>
      </c>
      <c r="H12" s="38">
        <f>sum(H3:H11)</f>
        <v>81</v>
      </c>
      <c r="I12" s="20" t="s">
        <v>45</v>
      </c>
      <c r="J12" s="12">
        <f>COUNTIF($A:$F, "*신민이*")</f>
        <v>3</v>
      </c>
    </row>
    <row r="13">
      <c r="A13" s="51"/>
      <c r="B13" s="51"/>
      <c r="C13" s="65"/>
      <c r="D13" s="98" t="s">
        <v>47</v>
      </c>
      <c r="E13" s="47"/>
      <c r="F13" s="44"/>
      <c r="I13" s="20" t="s">
        <v>49</v>
      </c>
      <c r="J13" s="12">
        <f>COUNTIF($A:$F, "*심영섭*")</f>
        <v>3</v>
      </c>
    </row>
    <row r="14">
      <c r="A14" s="51"/>
      <c r="B14" s="51"/>
      <c r="C14" s="65"/>
      <c r="D14" s="102" t="s">
        <v>115</v>
      </c>
      <c r="E14" s="47"/>
      <c r="F14" s="44"/>
      <c r="I14" s="20" t="s">
        <v>52</v>
      </c>
      <c r="J14" s="12">
        <f>COUNTIF($A:$F, "*양우석*")</f>
        <v>0</v>
      </c>
    </row>
    <row r="15">
      <c r="A15" s="51"/>
      <c r="B15" s="51"/>
      <c r="C15" s="40"/>
      <c r="D15" s="28"/>
      <c r="E15" s="47"/>
      <c r="F15" s="44"/>
      <c r="I15" s="20" t="s">
        <v>53</v>
      </c>
      <c r="J15" s="12">
        <f>COUNTIF($A:$F, "*이상환*")</f>
        <v>6</v>
      </c>
    </row>
    <row r="16">
      <c r="A16" s="51"/>
      <c r="B16" s="146"/>
      <c r="C16" s="95"/>
      <c r="D16" s="47"/>
      <c r="E16" s="47"/>
      <c r="F16" s="51"/>
      <c r="I16" s="20" t="s">
        <v>55</v>
      </c>
      <c r="J16" s="12">
        <f>COUNTIF($A:$F, "*이주환*")</f>
        <v>0</v>
      </c>
    </row>
    <row r="17">
      <c r="B17" s="146"/>
      <c r="C17" s="95"/>
      <c r="D17" s="47"/>
      <c r="E17" s="47"/>
      <c r="F17" s="51"/>
      <c r="I17" s="20" t="s">
        <v>57</v>
      </c>
      <c r="J17" s="12">
        <f>COUNTIF($A:$F, "*이하영*")</f>
        <v>0</v>
      </c>
    </row>
    <row r="18">
      <c r="A18" s="51"/>
      <c r="B18" s="45"/>
      <c r="C18" s="51"/>
      <c r="D18" s="51"/>
      <c r="E18" s="51"/>
      <c r="F18" s="51"/>
      <c r="I18" s="20" t="s">
        <v>58</v>
      </c>
      <c r="J18" s="12">
        <f>COUNTIF($A:$F, "*이효숙*")</f>
        <v>0</v>
      </c>
    </row>
    <row r="19">
      <c r="A19" s="45"/>
      <c r="C19" s="51"/>
      <c r="D19" s="46"/>
      <c r="E19" s="46"/>
      <c r="F19" s="46"/>
      <c r="I19" s="20" t="s">
        <v>59</v>
      </c>
      <c r="J19" s="12">
        <f>COUNTIF($A:$F, "*이희영*")</f>
        <v>11</v>
      </c>
    </row>
    <row r="20">
      <c r="A20" s="51"/>
      <c r="B20" s="51"/>
      <c r="C20" s="51"/>
      <c r="D20" s="46"/>
      <c r="E20" s="46"/>
      <c r="F20" s="46"/>
      <c r="I20" s="20" t="s">
        <v>60</v>
      </c>
      <c r="J20" s="12">
        <f>COUNTIF($A:$F, "*장신혜*")</f>
        <v>11</v>
      </c>
    </row>
    <row r="21">
      <c r="A21" s="75"/>
      <c r="B21" s="75"/>
      <c r="C21" s="75"/>
      <c r="D21" s="75"/>
      <c r="E21" s="75"/>
      <c r="F21" s="75"/>
      <c r="I21" s="20" t="s">
        <v>61</v>
      </c>
      <c r="J21" s="12">
        <f>COUNTIF($A:$F, "*정지선*")</f>
        <v>1</v>
      </c>
    </row>
    <row r="22">
      <c r="A22" s="147">
        <v>6.0</v>
      </c>
      <c r="B22" s="147">
        <v>7.0</v>
      </c>
      <c r="C22" s="147">
        <v>8.0</v>
      </c>
      <c r="D22" s="148">
        <v>9.0</v>
      </c>
      <c r="E22" s="8">
        <v>10.0</v>
      </c>
      <c r="F22" s="8">
        <v>11.0</v>
      </c>
      <c r="I22" s="20" t="s">
        <v>62</v>
      </c>
      <c r="J22" s="12">
        <f>COUNTIF($A:$F, "*지명선*")</f>
        <v>2</v>
      </c>
    </row>
    <row r="23">
      <c r="A23" s="149" t="s">
        <v>202</v>
      </c>
      <c r="B23" s="72"/>
      <c r="C23" s="73"/>
      <c r="D23" s="142" t="s">
        <v>203</v>
      </c>
      <c r="E23" s="100" t="s">
        <v>12</v>
      </c>
      <c r="F23" s="82" t="s">
        <v>92</v>
      </c>
      <c r="I23" s="20" t="s">
        <v>63</v>
      </c>
      <c r="J23" s="12">
        <f>COUNTIF($A:$F, "*최은주*")</f>
        <v>0</v>
      </c>
    </row>
    <row r="24">
      <c r="A24" s="47"/>
      <c r="B24" s="47"/>
      <c r="C24" s="47"/>
      <c r="D24" s="47"/>
      <c r="E24" s="100" t="s">
        <v>19</v>
      </c>
      <c r="F24" s="122" t="s">
        <v>93</v>
      </c>
      <c r="I24" s="20" t="s">
        <v>65</v>
      </c>
      <c r="J24" s="12">
        <f>COUNTIF($A:$F, "*한 나*")</f>
        <v>6</v>
      </c>
    </row>
    <row r="25">
      <c r="A25" s="47"/>
      <c r="B25" s="47"/>
      <c r="C25" s="47"/>
      <c r="D25" s="47"/>
      <c r="E25" s="100" t="s">
        <v>98</v>
      </c>
      <c r="F25" s="150"/>
      <c r="I25" s="20" t="s">
        <v>66</v>
      </c>
      <c r="J25" s="12">
        <f>COUNTIF($A:$F, "*민현정*")</f>
        <v>0</v>
      </c>
    </row>
    <row r="26">
      <c r="A26" s="47"/>
      <c r="B26" s="47"/>
      <c r="C26" s="47"/>
      <c r="D26" s="47"/>
      <c r="E26" s="104"/>
      <c r="F26" s="18" t="s">
        <v>12</v>
      </c>
      <c r="I26" s="54" t="s">
        <v>44</v>
      </c>
      <c r="J26" s="38">
        <f>sum(J3:J25)</f>
        <v>81</v>
      </c>
    </row>
    <row r="27">
      <c r="A27" s="47"/>
      <c r="B27" s="47"/>
      <c r="C27" s="47"/>
      <c r="D27" s="47"/>
      <c r="E27" s="132"/>
      <c r="F27" s="18" t="s">
        <v>19</v>
      </c>
    </row>
    <row r="28">
      <c r="A28" s="47"/>
      <c r="B28" s="47"/>
      <c r="C28" s="47"/>
      <c r="D28" s="47"/>
      <c r="E28" s="16" t="s">
        <v>32</v>
      </c>
      <c r="F28" s="18" t="s">
        <v>98</v>
      </c>
    </row>
    <row r="29">
      <c r="A29" s="47"/>
      <c r="B29" s="47"/>
      <c r="C29" s="47"/>
      <c r="D29" s="47"/>
      <c r="E29" s="16" t="s">
        <v>36</v>
      </c>
      <c r="F29" s="150"/>
    </row>
    <row r="30">
      <c r="A30" s="47"/>
      <c r="B30" s="47"/>
      <c r="C30" s="47"/>
      <c r="D30" s="47"/>
      <c r="E30" s="21" t="s">
        <v>112</v>
      </c>
      <c r="F30" s="51"/>
    </row>
    <row r="31">
      <c r="A31" s="47"/>
      <c r="B31" s="47"/>
      <c r="C31" s="47"/>
      <c r="D31" s="47"/>
      <c r="E31" s="151"/>
      <c r="F31" s="44"/>
    </row>
    <row r="32">
      <c r="A32" s="47"/>
      <c r="B32" s="47"/>
      <c r="C32" s="47"/>
      <c r="D32" s="47"/>
      <c r="E32" s="67" t="s">
        <v>82</v>
      </c>
      <c r="F32" s="44"/>
    </row>
    <row r="33">
      <c r="A33" s="47"/>
      <c r="B33" s="47"/>
      <c r="C33" s="47"/>
      <c r="D33" s="47"/>
      <c r="E33" s="67" t="s">
        <v>84</v>
      </c>
      <c r="F33" s="51"/>
    </row>
    <row r="34">
      <c r="A34" s="47"/>
      <c r="B34" s="47"/>
      <c r="C34" s="47"/>
      <c r="D34" s="47"/>
      <c r="E34" s="51"/>
      <c r="F34" s="51"/>
    </row>
    <row r="35">
      <c r="A35" s="47"/>
      <c r="B35" s="47"/>
      <c r="C35" s="47"/>
      <c r="D35" s="47"/>
      <c r="E35" s="51"/>
      <c r="F35" s="44"/>
    </row>
    <row r="36">
      <c r="A36" s="47"/>
      <c r="B36" s="47"/>
      <c r="C36" s="47"/>
      <c r="D36" s="47"/>
      <c r="E36" s="56"/>
      <c r="F36" s="44"/>
    </row>
    <row r="37">
      <c r="A37" s="47"/>
      <c r="B37" s="47"/>
      <c r="C37" s="51"/>
      <c r="D37" s="47"/>
      <c r="E37" s="56"/>
      <c r="F37" s="46"/>
    </row>
    <row r="38">
      <c r="A38" s="47"/>
      <c r="B38" s="47"/>
      <c r="C38" s="51"/>
      <c r="D38" s="47"/>
      <c r="E38" s="56"/>
      <c r="F38" s="46"/>
    </row>
    <row r="39">
      <c r="A39" s="47"/>
      <c r="B39" s="47"/>
      <c r="C39" s="51"/>
      <c r="D39" s="51"/>
      <c r="E39" s="46"/>
      <c r="F39" s="46"/>
    </row>
    <row r="40">
      <c r="A40" s="51"/>
      <c r="B40" s="51"/>
      <c r="C40" s="51"/>
      <c r="D40" s="51"/>
      <c r="E40" s="75"/>
      <c r="F40" s="75"/>
    </row>
    <row r="41">
      <c r="A41" s="10">
        <v>13.0</v>
      </c>
      <c r="B41" s="10">
        <v>14.0</v>
      </c>
      <c r="C41" s="9">
        <v>15.0</v>
      </c>
      <c r="D41" s="10">
        <v>16.0</v>
      </c>
      <c r="E41" s="9">
        <v>17.0</v>
      </c>
      <c r="F41" s="9">
        <v>18.0</v>
      </c>
    </row>
    <row r="42">
      <c r="A42" s="152"/>
      <c r="B42" s="98" t="s">
        <v>204</v>
      </c>
      <c r="C42" s="21" t="s">
        <v>10</v>
      </c>
      <c r="D42" s="70"/>
      <c r="E42" s="100" t="s">
        <v>12</v>
      </c>
      <c r="F42" s="153"/>
    </row>
    <row r="43">
      <c r="A43" s="154"/>
      <c r="B43" s="98" t="s">
        <v>205</v>
      </c>
      <c r="C43" s="21" t="s">
        <v>17</v>
      </c>
      <c r="D43" s="70"/>
      <c r="E43" s="100" t="s">
        <v>19</v>
      </c>
      <c r="F43" s="155"/>
    </row>
    <row r="44">
      <c r="A44" s="82" t="s">
        <v>206</v>
      </c>
      <c r="B44" s="102" t="s">
        <v>207</v>
      </c>
      <c r="C44" s="65"/>
      <c r="D44" s="70"/>
      <c r="E44" s="156"/>
      <c r="F44" s="155"/>
    </row>
    <row r="45">
      <c r="A45" s="65"/>
      <c r="B45" s="65"/>
      <c r="C45" s="19"/>
      <c r="D45" s="65"/>
      <c r="E45" s="104"/>
      <c r="F45" s="131"/>
    </row>
    <row r="46">
      <c r="A46" s="65"/>
      <c r="B46" s="70"/>
      <c r="C46" s="19"/>
      <c r="D46" s="145" t="s">
        <v>100</v>
      </c>
      <c r="E46" s="30"/>
      <c r="F46" s="157"/>
    </row>
    <row r="47">
      <c r="A47" s="65"/>
      <c r="B47" s="99" t="s">
        <v>208</v>
      </c>
      <c r="C47" s="65"/>
      <c r="D47" s="145" t="s">
        <v>103</v>
      </c>
      <c r="E47" s="16" t="s">
        <v>32</v>
      </c>
      <c r="F47" s="157"/>
    </row>
    <row r="48">
      <c r="A48" s="19"/>
      <c r="B48" s="101" t="s">
        <v>209</v>
      </c>
      <c r="C48" s="158" t="s">
        <v>210</v>
      </c>
      <c r="D48" s="28"/>
      <c r="E48" s="159"/>
      <c r="F48" s="160"/>
    </row>
    <row r="49">
      <c r="A49" s="19"/>
      <c r="B49" s="101" t="s">
        <v>211</v>
      </c>
      <c r="C49" s="88" t="s">
        <v>212</v>
      </c>
      <c r="D49" s="28"/>
      <c r="E49" s="21" t="s">
        <v>112</v>
      </c>
      <c r="F49" s="153"/>
    </row>
    <row r="50">
      <c r="A50" s="19"/>
      <c r="B50" s="28"/>
      <c r="C50" s="88" t="s">
        <v>213</v>
      </c>
      <c r="D50" s="98" t="s">
        <v>43</v>
      </c>
      <c r="E50" s="36"/>
      <c r="F50" s="28"/>
    </row>
    <row r="51">
      <c r="A51" s="28"/>
      <c r="B51" s="22"/>
      <c r="C51" s="65"/>
      <c r="D51" s="98" t="s">
        <v>47</v>
      </c>
      <c r="E51" s="31" t="s">
        <v>69</v>
      </c>
      <c r="F51" s="19"/>
    </row>
    <row r="52">
      <c r="A52" s="19"/>
      <c r="B52" s="16" t="s">
        <v>214</v>
      </c>
      <c r="C52" s="65"/>
      <c r="D52" s="102" t="s">
        <v>115</v>
      </c>
      <c r="E52" s="161"/>
      <c r="F52" s="19"/>
    </row>
    <row r="53">
      <c r="A53" s="19"/>
      <c r="B53" s="16" t="s">
        <v>215</v>
      </c>
      <c r="C53" s="40"/>
      <c r="D53" s="28"/>
      <c r="E53" s="162" t="s">
        <v>216</v>
      </c>
      <c r="F53" s="19"/>
    </row>
    <row r="54">
      <c r="A54" s="21" t="s">
        <v>217</v>
      </c>
      <c r="B54" s="16" t="s">
        <v>218</v>
      </c>
      <c r="C54" s="163" t="s">
        <v>129</v>
      </c>
      <c r="D54" s="65"/>
      <c r="E54" s="157"/>
      <c r="F54" s="19"/>
    </row>
    <row r="55">
      <c r="A55" s="21" t="s">
        <v>219</v>
      </c>
      <c r="B55" s="33"/>
      <c r="C55" s="163" t="s">
        <v>48</v>
      </c>
      <c r="D55" s="65"/>
      <c r="E55" s="40"/>
      <c r="F55" s="41"/>
    </row>
    <row r="56">
      <c r="A56" s="21" t="s">
        <v>220</v>
      </c>
      <c r="B56" s="28"/>
      <c r="C56" s="69"/>
      <c r="D56" s="65"/>
      <c r="F56" s="41"/>
    </row>
    <row r="57">
      <c r="A57" s="23"/>
      <c r="B57" s="69"/>
      <c r="C57" s="69"/>
      <c r="D57" s="65"/>
      <c r="E57" s="40"/>
      <c r="F57" s="19"/>
    </row>
    <row r="58">
      <c r="A58" s="23"/>
      <c r="B58" s="69"/>
      <c r="C58" s="69"/>
      <c r="D58" s="69"/>
      <c r="E58" s="68"/>
      <c r="F58" s="19"/>
    </row>
    <row r="59">
      <c r="A59" s="146"/>
      <c r="B59" s="51"/>
      <c r="C59" s="51"/>
      <c r="D59" s="51"/>
      <c r="E59" s="51"/>
      <c r="F59" s="44"/>
    </row>
    <row r="60">
      <c r="A60" s="146"/>
      <c r="B60" s="146"/>
      <c r="C60" s="146"/>
      <c r="D60" s="47"/>
      <c r="E60" s="47"/>
      <c r="F60" s="47"/>
    </row>
    <row r="61">
      <c r="A61" s="51"/>
      <c r="B61" s="51"/>
      <c r="C61" s="51"/>
      <c r="D61" s="47"/>
      <c r="E61" s="47"/>
      <c r="F61" s="47"/>
    </row>
    <row r="62">
      <c r="A62" s="97">
        <v>20.0</v>
      </c>
      <c r="B62" s="97">
        <v>21.0</v>
      </c>
      <c r="C62" s="9">
        <v>22.0</v>
      </c>
      <c r="D62" s="97">
        <v>23.0</v>
      </c>
      <c r="E62" s="9">
        <v>24.0</v>
      </c>
      <c r="F62" s="9">
        <v>25.0</v>
      </c>
    </row>
    <row r="63">
      <c r="A63" s="49" t="s">
        <v>221</v>
      </c>
      <c r="B63" s="50"/>
      <c r="C63" s="50"/>
      <c r="D63" s="50"/>
      <c r="E63" s="50"/>
      <c r="F63" s="164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</row>
    <row r="64">
      <c r="A64" s="47"/>
      <c r="B64" s="19"/>
      <c r="C64" s="48" t="s">
        <v>222</v>
      </c>
      <c r="D64" s="70"/>
      <c r="E64" s="48" t="s">
        <v>223</v>
      </c>
      <c r="F64" s="47"/>
    </row>
    <row r="65">
      <c r="A65" s="87" t="s">
        <v>224</v>
      </c>
      <c r="B65" s="70"/>
      <c r="C65" s="47"/>
      <c r="D65" s="70"/>
      <c r="E65" s="47"/>
      <c r="F65" s="47"/>
    </row>
    <row r="66">
      <c r="A66" s="87" t="s">
        <v>225</v>
      </c>
      <c r="B66" s="70"/>
      <c r="C66" s="47"/>
      <c r="D66" s="70"/>
      <c r="E66" s="47"/>
      <c r="F66" s="47"/>
    </row>
    <row r="67">
      <c r="A67" s="51"/>
      <c r="B67" s="70"/>
      <c r="C67" s="47"/>
      <c r="D67" s="19"/>
      <c r="E67" s="47"/>
      <c r="F67" s="47"/>
    </row>
    <row r="68">
      <c r="A68" s="35"/>
      <c r="B68" s="70"/>
      <c r="C68" s="47"/>
      <c r="D68" s="19"/>
      <c r="E68" s="47"/>
      <c r="F68" s="47"/>
    </row>
    <row r="69">
      <c r="A69" s="35"/>
      <c r="B69" s="70"/>
      <c r="C69" s="47"/>
      <c r="D69" s="70"/>
      <c r="E69" s="47"/>
      <c r="F69" s="47"/>
    </row>
    <row r="70">
      <c r="A70" s="35"/>
      <c r="B70" s="70"/>
      <c r="C70" s="47"/>
      <c r="D70" s="28"/>
      <c r="E70" s="47"/>
      <c r="F70" s="47"/>
    </row>
    <row r="71">
      <c r="A71" s="29" t="s">
        <v>11</v>
      </c>
      <c r="B71" s="70"/>
      <c r="C71" s="47"/>
      <c r="D71" s="28"/>
      <c r="E71" s="47"/>
      <c r="F71" s="47"/>
    </row>
    <row r="72">
      <c r="A72" s="31" t="s">
        <v>18</v>
      </c>
      <c r="B72" s="28"/>
      <c r="C72" s="47"/>
      <c r="D72" s="19"/>
      <c r="E72" s="47"/>
      <c r="F72" s="47"/>
    </row>
    <row r="73">
      <c r="A73" s="47"/>
      <c r="B73" s="19"/>
      <c r="C73" s="47"/>
      <c r="D73" s="19"/>
      <c r="E73" s="47"/>
      <c r="F73" s="47"/>
    </row>
    <row r="74">
      <c r="A74" s="47"/>
      <c r="B74" s="19"/>
      <c r="C74" s="47"/>
      <c r="D74" s="70"/>
      <c r="E74" s="47"/>
      <c r="F74" s="47"/>
    </row>
    <row r="75">
      <c r="A75" s="47"/>
      <c r="B75" s="19"/>
      <c r="C75" s="47"/>
      <c r="D75" s="47"/>
      <c r="E75" s="47"/>
      <c r="F75" s="47"/>
    </row>
    <row r="76">
      <c r="A76" s="47"/>
      <c r="B76" s="51"/>
      <c r="C76" s="47"/>
      <c r="D76" s="47"/>
      <c r="E76" s="47"/>
      <c r="F76" s="47"/>
    </row>
    <row r="77">
      <c r="A77" s="47"/>
      <c r="B77" s="47"/>
      <c r="C77" s="47"/>
      <c r="D77" s="47"/>
      <c r="E77" s="47"/>
      <c r="F77" s="47"/>
    </row>
    <row r="78">
      <c r="A78" s="47"/>
      <c r="B78" s="47"/>
      <c r="C78" s="47"/>
      <c r="D78" s="47"/>
      <c r="E78" s="47"/>
      <c r="F78" s="47"/>
    </row>
    <row r="79">
      <c r="A79" s="47"/>
      <c r="B79" s="47"/>
      <c r="C79" s="47"/>
      <c r="D79" s="47"/>
      <c r="E79" s="47"/>
      <c r="F79" s="47"/>
    </row>
    <row r="80">
      <c r="A80" s="47"/>
      <c r="B80" s="47"/>
      <c r="C80" s="47"/>
      <c r="D80" s="47"/>
      <c r="E80" s="47"/>
      <c r="F80" s="47"/>
    </row>
    <row r="81">
      <c r="A81" s="47"/>
      <c r="B81" s="47"/>
      <c r="C81" s="47"/>
      <c r="D81" s="47"/>
      <c r="E81" s="47"/>
      <c r="F81" s="47"/>
    </row>
    <row r="82">
      <c r="A82" s="146"/>
      <c r="B82" s="146"/>
      <c r="C82" s="146"/>
      <c r="D82" s="146"/>
      <c r="E82" s="146"/>
      <c r="F82" s="47"/>
    </row>
    <row r="83">
      <c r="A83" s="146"/>
      <c r="B83" s="146"/>
      <c r="C83" s="146"/>
      <c r="D83" s="146"/>
      <c r="E83" s="146"/>
      <c r="F83" s="47"/>
    </row>
    <row r="84">
      <c r="A84" s="51"/>
      <c r="B84" s="51"/>
      <c r="C84" s="51"/>
      <c r="D84" s="51"/>
      <c r="E84" s="51"/>
      <c r="F84" s="47"/>
    </row>
    <row r="85">
      <c r="A85" s="10">
        <v>27.0</v>
      </c>
      <c r="B85" s="10">
        <v>28.0</v>
      </c>
      <c r="C85" s="9">
        <v>29.0</v>
      </c>
      <c r="D85" s="10">
        <v>30.0</v>
      </c>
      <c r="E85" s="9">
        <v>31.0</v>
      </c>
      <c r="F85" s="9"/>
    </row>
    <row r="86">
      <c r="A86" s="49" t="s">
        <v>221</v>
      </c>
      <c r="B86" s="50"/>
      <c r="C86" s="50"/>
      <c r="D86" s="50"/>
      <c r="E86" s="50"/>
      <c r="F86" s="164"/>
    </row>
    <row r="87">
      <c r="A87" s="47"/>
      <c r="B87" s="19"/>
      <c r="C87" s="102" t="s">
        <v>226</v>
      </c>
      <c r="D87" s="70"/>
      <c r="E87" s="100" t="s">
        <v>12</v>
      </c>
      <c r="F87" s="47"/>
    </row>
    <row r="88">
      <c r="A88" s="47"/>
      <c r="B88" s="22"/>
      <c r="C88" s="89" t="s">
        <v>227</v>
      </c>
      <c r="D88" s="23"/>
      <c r="E88" s="18" t="s">
        <v>19</v>
      </c>
      <c r="F88" s="47"/>
    </row>
    <row r="89">
      <c r="A89" s="70"/>
      <c r="B89" s="16" t="s">
        <v>32</v>
      </c>
      <c r="C89" s="24"/>
      <c r="D89" s="23"/>
      <c r="E89" s="18" t="s">
        <v>98</v>
      </c>
      <c r="F89" s="47"/>
    </row>
    <row r="90">
      <c r="A90" s="52" t="s">
        <v>228</v>
      </c>
      <c r="B90" s="16" t="s">
        <v>36</v>
      </c>
      <c r="C90" s="22"/>
      <c r="D90" s="24"/>
      <c r="E90" s="25"/>
      <c r="F90" s="47"/>
    </row>
    <row r="91">
      <c r="A91" s="47"/>
      <c r="B91" s="21" t="s">
        <v>112</v>
      </c>
      <c r="C91" s="22"/>
      <c r="D91" s="85" t="s">
        <v>100</v>
      </c>
      <c r="E91" s="30"/>
      <c r="F91" s="47"/>
    </row>
    <row r="92">
      <c r="A92" s="47"/>
      <c r="B92" s="23"/>
      <c r="C92" s="24"/>
      <c r="D92" s="85" t="s">
        <v>103</v>
      </c>
      <c r="E92" s="16" t="s">
        <v>32</v>
      </c>
      <c r="F92" s="47"/>
    </row>
    <row r="93">
      <c r="A93" s="47"/>
      <c r="B93" s="23"/>
      <c r="C93" s="86" t="s">
        <v>229</v>
      </c>
      <c r="D93" s="33"/>
      <c r="E93" s="16" t="s">
        <v>36</v>
      </c>
      <c r="F93" s="47"/>
    </row>
    <row r="94">
      <c r="A94" s="47"/>
      <c r="B94" s="23"/>
      <c r="C94" s="86" t="s">
        <v>230</v>
      </c>
      <c r="D94" s="33"/>
      <c r="E94" s="21" t="s">
        <v>112</v>
      </c>
      <c r="F94" s="47"/>
    </row>
    <row r="95">
      <c r="A95" s="47"/>
      <c r="B95" s="33"/>
      <c r="C95" s="86" t="s">
        <v>231</v>
      </c>
      <c r="D95" s="15" t="s">
        <v>43</v>
      </c>
      <c r="E95" s="36"/>
      <c r="F95" s="47"/>
    </row>
    <row r="96">
      <c r="A96" s="47"/>
      <c r="B96" s="22"/>
      <c r="C96" s="150"/>
      <c r="D96" s="15" t="s">
        <v>47</v>
      </c>
      <c r="E96" s="33"/>
      <c r="F96" s="47"/>
    </row>
    <row r="97">
      <c r="A97" s="47"/>
      <c r="B97" s="22"/>
      <c r="C97" s="29" t="s">
        <v>11</v>
      </c>
      <c r="D97" s="23"/>
      <c r="E97" s="33"/>
      <c r="F97" s="47"/>
    </row>
    <row r="98">
      <c r="A98" s="47"/>
      <c r="B98" s="22"/>
      <c r="C98" s="31" t="s">
        <v>18</v>
      </c>
      <c r="D98" s="166"/>
      <c r="E98" s="35"/>
      <c r="F98" s="47"/>
    </row>
    <row r="99">
      <c r="A99" s="47"/>
      <c r="B99" s="166"/>
      <c r="C99" s="150"/>
      <c r="D99" s="166"/>
      <c r="E99" s="35"/>
      <c r="F99" s="47"/>
    </row>
    <row r="100">
      <c r="A100" s="47"/>
      <c r="B100" s="47"/>
      <c r="C100" s="47"/>
      <c r="D100" s="47"/>
      <c r="E100" s="47"/>
      <c r="F100" s="47"/>
    </row>
    <row r="101">
      <c r="A101" s="47"/>
      <c r="B101" s="47"/>
      <c r="C101" s="47"/>
      <c r="D101" s="47"/>
      <c r="E101" s="47"/>
      <c r="F101" s="51"/>
    </row>
    <row r="102">
      <c r="A102" s="47"/>
      <c r="B102" s="47"/>
      <c r="C102" s="47"/>
      <c r="D102" s="47"/>
      <c r="E102" s="47"/>
      <c r="F102" s="75"/>
    </row>
  </sheetData>
  <mergeCells count="4">
    <mergeCell ref="A1:F1"/>
    <mergeCell ref="A23:C23"/>
    <mergeCell ref="A63:F63"/>
    <mergeCell ref="A86:F86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9.57"/>
    <col customWidth="1" min="3" max="3" width="30.0"/>
    <col customWidth="1" min="4" max="4" width="28.0"/>
    <col customWidth="1" min="5" max="6" width="32.0"/>
    <col customWidth="1" min="7" max="7" width="9.57"/>
    <col customWidth="1" min="8" max="8" width="4.29"/>
    <col customWidth="1" min="9" max="9" width="7.43"/>
    <col customWidth="1" min="10" max="10" width="4.29"/>
    <col customWidth="1" min="12" max="12" width="3.29"/>
    <col customWidth="1" min="14" max="14" width="4.29"/>
  </cols>
  <sheetData>
    <row r="1">
      <c r="A1" s="1">
        <v>45901.0</v>
      </c>
      <c r="B1" s="2"/>
      <c r="C1" s="2"/>
      <c r="D1" s="2"/>
      <c r="E1" s="2"/>
      <c r="F1" s="3"/>
    </row>
    <row r="2">
      <c r="A2" s="4" t="s">
        <v>232</v>
      </c>
      <c r="B2" s="5" t="s">
        <v>233</v>
      </c>
      <c r="C2" s="5" t="s">
        <v>234</v>
      </c>
      <c r="D2" s="5" t="s">
        <v>235</v>
      </c>
      <c r="E2" s="6" t="s">
        <v>236</v>
      </c>
      <c r="F2" s="7" t="s">
        <v>5</v>
      </c>
    </row>
    <row r="3">
      <c r="A3" s="167">
        <v>1.0</v>
      </c>
      <c r="B3" s="167">
        <v>2.0</v>
      </c>
      <c r="C3" s="167">
        <v>3.0</v>
      </c>
      <c r="D3" s="168">
        <v>4.0</v>
      </c>
      <c r="E3" s="169">
        <v>5.0</v>
      </c>
      <c r="F3" s="169">
        <v>6.0</v>
      </c>
      <c r="G3" s="11" t="s">
        <v>6</v>
      </c>
      <c r="H3" s="12">
        <f>COUNTIF($A:$F, "*진로개발*")</f>
        <v>22</v>
      </c>
      <c r="I3" s="13" t="s">
        <v>7</v>
      </c>
      <c r="J3" s="12">
        <f>COUNTIF($A:$F, "*강 진*")</f>
        <v>10</v>
      </c>
    </row>
    <row r="4">
      <c r="A4" s="14" t="s">
        <v>8</v>
      </c>
      <c r="B4" s="21" t="s">
        <v>237</v>
      </c>
      <c r="C4" s="127" t="s">
        <v>238</v>
      </c>
      <c r="D4" s="127" t="s">
        <v>239</v>
      </c>
      <c r="E4" s="127" t="s">
        <v>239</v>
      </c>
      <c r="F4" s="82" t="s">
        <v>92</v>
      </c>
      <c r="G4" s="11" t="s">
        <v>13</v>
      </c>
      <c r="H4" s="12">
        <f>COUNTIF($A:$F, "*서류면접*")</f>
        <v>130</v>
      </c>
      <c r="I4" s="20" t="s">
        <v>14</v>
      </c>
      <c r="J4" s="12">
        <f>COUNTIF($A:$F, "*김나영*")</f>
        <v>12</v>
      </c>
    </row>
    <row r="5">
      <c r="A5" s="14" t="s">
        <v>15</v>
      </c>
      <c r="B5" s="21" t="s">
        <v>240</v>
      </c>
      <c r="C5" s="22"/>
      <c r="D5" s="17" t="s">
        <v>11</v>
      </c>
      <c r="E5" s="18" t="s">
        <v>12</v>
      </c>
      <c r="F5" s="170" t="s">
        <v>93</v>
      </c>
      <c r="G5" s="11" t="s">
        <v>20</v>
      </c>
      <c r="H5" s="12">
        <f>COUNTIF($A:$F, "*공기업*")</f>
        <v>6</v>
      </c>
      <c r="I5" s="20" t="s">
        <v>21</v>
      </c>
      <c r="J5" s="12">
        <f>COUNTIF($A:$F, "*김미령*")</f>
        <v>0</v>
      </c>
    </row>
    <row r="6">
      <c r="A6" s="14" t="s">
        <v>241</v>
      </c>
      <c r="B6" s="107" t="s">
        <v>242</v>
      </c>
      <c r="C6" s="16" t="s">
        <v>10</v>
      </c>
      <c r="D6" s="21" t="s">
        <v>18</v>
      </c>
      <c r="E6" s="18" t="s">
        <v>19</v>
      </c>
      <c r="F6" s="14" t="s">
        <v>94</v>
      </c>
      <c r="G6" s="11" t="s">
        <v>22</v>
      </c>
      <c r="H6" s="12">
        <f>COUNTIF($A:$F, "*외국계*")</f>
        <v>8</v>
      </c>
      <c r="I6" s="20" t="s">
        <v>23</v>
      </c>
      <c r="J6" s="12">
        <f>COUNTIF($A:$F, "*김민경*")</f>
        <v>8</v>
      </c>
    </row>
    <row r="7">
      <c r="A7" s="24"/>
      <c r="B7" s="24"/>
      <c r="C7" s="16" t="s">
        <v>17</v>
      </c>
      <c r="D7" s="23"/>
      <c r="E7" s="18" t="s">
        <v>98</v>
      </c>
      <c r="F7" s="25"/>
      <c r="G7" s="11" t="s">
        <v>25</v>
      </c>
      <c r="H7" s="12">
        <f>COUNTIF($A:$F, "*이공계*")</f>
        <v>20</v>
      </c>
      <c r="I7" s="20" t="s">
        <v>26</v>
      </c>
      <c r="J7" s="12">
        <f>COUNTIF($A:$F, "*김선화*")</f>
        <v>8</v>
      </c>
    </row>
    <row r="8">
      <c r="A8" s="24"/>
      <c r="B8" s="17" t="s">
        <v>243</v>
      </c>
      <c r="C8" s="86" t="s">
        <v>244</v>
      </c>
      <c r="D8" s="24"/>
      <c r="E8" s="25"/>
      <c r="F8" s="25"/>
      <c r="G8" s="11" t="s">
        <v>29</v>
      </c>
      <c r="H8" s="12">
        <f>COUNTIF($A:$F, "*콘텐츠*")</f>
        <v>6</v>
      </c>
      <c r="I8" s="20" t="s">
        <v>30</v>
      </c>
      <c r="J8" s="12">
        <f>COUNTIF($A:$F, "*김세희*")</f>
        <v>8</v>
      </c>
    </row>
    <row r="9">
      <c r="A9" s="21" t="s">
        <v>245</v>
      </c>
      <c r="B9" s="21" t="s">
        <v>246</v>
      </c>
      <c r="C9" s="24"/>
      <c r="D9" s="85" t="s">
        <v>100</v>
      </c>
      <c r="E9" s="30"/>
      <c r="F9" s="86" t="s">
        <v>101</v>
      </c>
      <c r="G9" s="11" t="s">
        <v>33</v>
      </c>
      <c r="H9" s="12">
        <f>COUNTIF($A:$F, "*금융*")</f>
        <v>0</v>
      </c>
      <c r="I9" s="20" t="s">
        <v>34</v>
      </c>
      <c r="J9" s="12">
        <f>COUNTIF($A:$F, "*김지현*")</f>
        <v>14</v>
      </c>
    </row>
    <row r="10">
      <c r="A10" s="171"/>
      <c r="B10" s="21" t="s">
        <v>247</v>
      </c>
      <c r="C10" s="86" t="s">
        <v>248</v>
      </c>
      <c r="D10" s="85" t="s">
        <v>103</v>
      </c>
      <c r="E10" s="16" t="s">
        <v>32</v>
      </c>
      <c r="F10" s="86" t="s">
        <v>104</v>
      </c>
      <c r="G10" s="34" t="s">
        <v>37</v>
      </c>
      <c r="H10" s="12">
        <f>COUNTIF($A:$F, "*IT*")</f>
        <v>0</v>
      </c>
      <c r="I10" s="20" t="s">
        <v>38</v>
      </c>
      <c r="J10" s="12">
        <f>COUNTIF($A:$F, "*범하나*")</f>
        <v>14</v>
      </c>
    </row>
    <row r="11">
      <c r="A11" s="21" t="s">
        <v>249</v>
      </c>
      <c r="B11" s="23" t="s">
        <v>250</v>
      </c>
      <c r="C11" s="86" t="s">
        <v>251</v>
      </c>
      <c r="D11" s="33"/>
      <c r="E11" s="16" t="s">
        <v>36</v>
      </c>
      <c r="F11" s="86" t="s">
        <v>106</v>
      </c>
      <c r="G11" s="11" t="s">
        <v>40</v>
      </c>
      <c r="H11" s="12">
        <f>COUNTIF($A:$F, "*임원면접*")</f>
        <v>0</v>
      </c>
      <c r="I11" s="20" t="s">
        <v>41</v>
      </c>
      <c r="J11" s="12">
        <f>COUNTIF($A:$F, "*성지우*")</f>
        <v>4</v>
      </c>
    </row>
    <row r="12">
      <c r="A12" s="23" t="s">
        <v>250</v>
      </c>
      <c r="B12" s="21" t="s">
        <v>252</v>
      </c>
      <c r="C12" s="86" t="s">
        <v>253</v>
      </c>
      <c r="D12" s="33"/>
      <c r="E12" s="21" t="s">
        <v>112</v>
      </c>
      <c r="F12" s="25"/>
      <c r="G12" s="37" t="s">
        <v>44</v>
      </c>
      <c r="H12" s="38">
        <f>sum(H3:H11)</f>
        <v>192</v>
      </c>
      <c r="I12" s="20" t="s">
        <v>45</v>
      </c>
      <c r="J12" s="12">
        <f>COUNTIF($A:$F, "*신민이*")</f>
        <v>15</v>
      </c>
    </row>
    <row r="13">
      <c r="A13" s="21" t="s">
        <v>254</v>
      </c>
      <c r="B13" s="21" t="s">
        <v>255</v>
      </c>
      <c r="C13" s="86" t="s">
        <v>256</v>
      </c>
      <c r="D13" s="15" t="s">
        <v>43</v>
      </c>
      <c r="E13" s="33"/>
      <c r="F13" s="18" t="s">
        <v>12</v>
      </c>
      <c r="I13" s="20" t="s">
        <v>49</v>
      </c>
      <c r="J13" s="12">
        <f>COUNTIF($A:$F, "*심영섭*")</f>
        <v>30</v>
      </c>
    </row>
    <row r="14">
      <c r="A14" s="21" t="s">
        <v>257</v>
      </c>
      <c r="B14" s="21" t="s">
        <v>258</v>
      </c>
      <c r="C14" s="24"/>
      <c r="D14" s="15" t="s">
        <v>47</v>
      </c>
      <c r="E14" s="33"/>
      <c r="F14" s="18" t="s">
        <v>19</v>
      </c>
      <c r="I14" s="20" t="s">
        <v>52</v>
      </c>
      <c r="J14" s="12">
        <f>COUNTIF($A:$F, "*양우석*")</f>
        <v>0</v>
      </c>
    </row>
    <row r="15">
      <c r="A15" s="21" t="s">
        <v>259</v>
      </c>
      <c r="B15" s="172"/>
      <c r="C15" s="35"/>
      <c r="D15" s="89" t="s">
        <v>115</v>
      </c>
      <c r="E15" s="35"/>
      <c r="F15" s="18" t="s">
        <v>98</v>
      </c>
      <c r="I15" s="20" t="s">
        <v>53</v>
      </c>
      <c r="J15" s="12">
        <f>COUNTIF($A:$F, "*이상환*")</f>
        <v>8</v>
      </c>
    </row>
    <row r="16">
      <c r="A16" s="23"/>
      <c r="B16" s="24"/>
      <c r="C16" s="39" t="s">
        <v>129</v>
      </c>
      <c r="D16" s="24"/>
      <c r="E16" s="35"/>
      <c r="F16" s="19"/>
      <c r="I16" s="20" t="s">
        <v>55</v>
      </c>
      <c r="J16" s="12">
        <f>COUNTIF($A:$F, "*이주환*")</f>
        <v>0</v>
      </c>
    </row>
    <row r="17">
      <c r="A17" s="21" t="s">
        <v>260</v>
      </c>
      <c r="B17" s="21" t="s">
        <v>261</v>
      </c>
      <c r="C17" s="39" t="s">
        <v>48</v>
      </c>
      <c r="D17" s="24"/>
      <c r="E17" s="173"/>
      <c r="F17" s="41"/>
      <c r="I17" s="20" t="s">
        <v>57</v>
      </c>
      <c r="J17" s="12">
        <f>COUNTIF($A:$F, "*이하영*")</f>
        <v>0</v>
      </c>
    </row>
    <row r="18">
      <c r="A18" s="21" t="s">
        <v>262</v>
      </c>
      <c r="B18" s="21" t="s">
        <v>263</v>
      </c>
      <c r="C18" s="42"/>
      <c r="D18" s="24"/>
      <c r="E18" s="43"/>
      <c r="F18" s="41"/>
      <c r="I18" s="20" t="s">
        <v>58</v>
      </c>
      <c r="J18" s="12">
        <f>COUNTIF($A:$F, "*이효숙*")</f>
        <v>0</v>
      </c>
    </row>
    <row r="19">
      <c r="A19" s="21" t="s">
        <v>264</v>
      </c>
      <c r="B19" s="21" t="s">
        <v>265</v>
      </c>
      <c r="C19" s="42"/>
      <c r="D19" s="24"/>
      <c r="E19" s="35"/>
      <c r="F19" s="19"/>
      <c r="I19" s="20" t="s">
        <v>59</v>
      </c>
      <c r="J19" s="12">
        <f>COUNTIF($A:$F, "*이희영*")</f>
        <v>24</v>
      </c>
    </row>
    <row r="20">
      <c r="A20" s="101" t="s">
        <v>266</v>
      </c>
      <c r="B20" s="69"/>
      <c r="C20" s="69"/>
      <c r="D20" s="69"/>
      <c r="E20" s="68"/>
      <c r="F20" s="19"/>
      <c r="I20" s="20" t="s">
        <v>60</v>
      </c>
      <c r="J20" s="12">
        <f>COUNTIF($A:$F, "*장신혜*")</f>
        <v>9</v>
      </c>
    </row>
    <row r="21">
      <c r="A21" s="70"/>
      <c r="B21" s="69"/>
      <c r="C21" s="69"/>
      <c r="D21" s="69"/>
      <c r="E21" s="68"/>
      <c r="F21" s="69"/>
      <c r="I21" s="20" t="s">
        <v>61</v>
      </c>
      <c r="J21" s="12">
        <f>COUNTIF($A:$F, "*정지선*")</f>
        <v>14</v>
      </c>
    </row>
    <row r="22">
      <c r="A22" s="174">
        <v>8.0</v>
      </c>
      <c r="B22" s="174">
        <v>9.0</v>
      </c>
      <c r="C22" s="174">
        <v>10.0</v>
      </c>
      <c r="D22" s="97">
        <v>11.0</v>
      </c>
      <c r="E22" s="9">
        <v>12.0</v>
      </c>
      <c r="F22" s="9">
        <v>13.0</v>
      </c>
      <c r="I22" s="20" t="s">
        <v>62</v>
      </c>
      <c r="J22" s="12">
        <f>COUNTIF($A:$F, "*지명선*")</f>
        <v>4</v>
      </c>
    </row>
    <row r="23">
      <c r="A23" s="14" t="s">
        <v>267</v>
      </c>
      <c r="B23" s="21" t="s">
        <v>237</v>
      </c>
      <c r="C23" s="16" t="s">
        <v>10</v>
      </c>
      <c r="D23" s="17" t="s">
        <v>268</v>
      </c>
      <c r="E23" s="18" t="s">
        <v>12</v>
      </c>
      <c r="F23" s="82" t="s">
        <v>92</v>
      </c>
      <c r="I23" s="20" t="s">
        <v>63</v>
      </c>
      <c r="J23" s="12">
        <f>COUNTIF($A:$F, "*최은주*")</f>
        <v>0</v>
      </c>
    </row>
    <row r="24">
      <c r="A24" s="175"/>
      <c r="B24" s="21" t="s">
        <v>240</v>
      </c>
      <c r="C24" s="16" t="s">
        <v>17</v>
      </c>
      <c r="D24" s="176"/>
      <c r="E24" s="18" t="s">
        <v>19</v>
      </c>
      <c r="F24" s="122" t="s">
        <v>93</v>
      </c>
      <c r="I24" s="20" t="s">
        <v>65</v>
      </c>
      <c r="J24" s="12">
        <f>COUNTIF($A:$F, "*한 나*")</f>
        <v>10</v>
      </c>
    </row>
    <row r="25">
      <c r="A25" s="14" t="s">
        <v>269</v>
      </c>
      <c r="B25" s="107" t="s">
        <v>270</v>
      </c>
      <c r="C25" s="86" t="s">
        <v>244</v>
      </c>
      <c r="D25" s="23"/>
      <c r="E25" s="18" t="s">
        <v>98</v>
      </c>
      <c r="F25" s="177" t="s">
        <v>271</v>
      </c>
      <c r="I25" s="20" t="s">
        <v>66</v>
      </c>
      <c r="J25" s="12">
        <f>COUNTIF($A:$F, "*민현정*")</f>
        <v>0</v>
      </c>
    </row>
    <row r="26">
      <c r="A26" s="24"/>
      <c r="B26" s="24"/>
      <c r="C26" s="22"/>
      <c r="D26" s="24"/>
      <c r="E26" s="25"/>
      <c r="F26" s="150"/>
      <c r="I26" s="54" t="s">
        <v>44</v>
      </c>
      <c r="J26" s="38">
        <f>sum(J3:J25)</f>
        <v>192</v>
      </c>
    </row>
    <row r="27">
      <c r="A27" s="24"/>
      <c r="B27" s="17" t="s">
        <v>272</v>
      </c>
      <c r="C27" s="22"/>
      <c r="D27" s="25"/>
      <c r="E27" s="30"/>
      <c r="F27" s="86" t="s">
        <v>101</v>
      </c>
    </row>
    <row r="28">
      <c r="A28" s="24"/>
      <c r="B28" s="21" t="s">
        <v>273</v>
      </c>
      <c r="C28" s="24"/>
      <c r="D28" s="25"/>
      <c r="E28" s="16" t="s">
        <v>32</v>
      </c>
      <c r="F28" s="86" t="s">
        <v>104</v>
      </c>
    </row>
    <row r="29">
      <c r="A29" s="21" t="s">
        <v>274</v>
      </c>
      <c r="B29" s="21" t="s">
        <v>275</v>
      </c>
      <c r="C29" s="86" t="s">
        <v>276</v>
      </c>
      <c r="D29" s="33"/>
      <c r="E29" s="16" t="s">
        <v>36</v>
      </c>
      <c r="F29" s="86" t="s">
        <v>106</v>
      </c>
    </row>
    <row r="30">
      <c r="A30" s="21" t="s">
        <v>277</v>
      </c>
      <c r="B30" s="33"/>
      <c r="C30" s="86" t="s">
        <v>278</v>
      </c>
      <c r="D30" s="33"/>
      <c r="E30" s="21" t="s">
        <v>112</v>
      </c>
      <c r="F30" s="150"/>
    </row>
    <row r="31">
      <c r="A31" s="21" t="s">
        <v>279</v>
      </c>
      <c r="B31" s="33"/>
      <c r="C31" s="86" t="s">
        <v>280</v>
      </c>
      <c r="D31" s="15" t="s">
        <v>43</v>
      </c>
      <c r="E31" s="178"/>
      <c r="F31" s="25"/>
    </row>
    <row r="32">
      <c r="A32" s="179"/>
      <c r="B32" s="171"/>
      <c r="C32" s="86" t="s">
        <v>281</v>
      </c>
      <c r="D32" s="15" t="s">
        <v>47</v>
      </c>
      <c r="E32" s="144" t="s">
        <v>282</v>
      </c>
      <c r="F32" s="25"/>
    </row>
    <row r="33">
      <c r="A33" s="22"/>
      <c r="B33" s="16" t="s">
        <v>283</v>
      </c>
      <c r="C33" s="24"/>
      <c r="D33" s="89" t="s">
        <v>115</v>
      </c>
      <c r="E33" s="144" t="s">
        <v>284</v>
      </c>
      <c r="F33" s="25"/>
    </row>
    <row r="34">
      <c r="A34" s="22"/>
      <c r="B34" s="16" t="s">
        <v>285</v>
      </c>
      <c r="C34" s="35"/>
      <c r="D34" s="33"/>
      <c r="E34" s="150"/>
      <c r="F34" s="150"/>
    </row>
    <row r="35">
      <c r="A35" s="21" t="s">
        <v>286</v>
      </c>
      <c r="B35" s="24"/>
      <c r="C35" s="35"/>
      <c r="D35" s="24"/>
      <c r="E35" s="150"/>
      <c r="F35" s="44"/>
    </row>
    <row r="36">
      <c r="A36" s="21" t="s">
        <v>287</v>
      </c>
      <c r="B36" s="33"/>
      <c r="C36" s="33"/>
      <c r="D36" s="24"/>
      <c r="E36" s="180"/>
      <c r="F36" s="44"/>
    </row>
    <row r="37">
      <c r="A37" s="21" t="s">
        <v>288</v>
      </c>
      <c r="B37" s="33"/>
      <c r="C37" s="42"/>
      <c r="D37" s="24"/>
      <c r="E37" s="181" t="s">
        <v>82</v>
      </c>
      <c r="F37" s="46"/>
    </row>
    <row r="38">
      <c r="A38" s="23"/>
      <c r="B38" s="42"/>
      <c r="C38" s="42"/>
      <c r="D38" s="24"/>
      <c r="E38" s="181" t="s">
        <v>84</v>
      </c>
      <c r="F38" s="46"/>
    </row>
    <row r="39">
      <c r="A39" s="23"/>
      <c r="B39" s="42"/>
      <c r="C39" s="42"/>
      <c r="D39" s="42"/>
      <c r="E39" s="180"/>
      <c r="F39" s="46"/>
    </row>
    <row r="40">
      <c r="A40" s="44"/>
      <c r="B40" s="95"/>
      <c r="C40" s="51"/>
      <c r="D40" s="51"/>
      <c r="E40" s="31" t="s">
        <v>289</v>
      </c>
      <c r="F40" s="51"/>
    </row>
    <row r="41">
      <c r="A41" s="44"/>
      <c r="B41" s="46"/>
      <c r="C41" s="46"/>
      <c r="D41" s="46"/>
      <c r="E41" s="46"/>
      <c r="F41" s="46"/>
    </row>
    <row r="42">
      <c r="A42" s="182"/>
      <c r="B42" s="183"/>
      <c r="C42" s="75"/>
      <c r="D42" s="75"/>
      <c r="E42" s="75"/>
      <c r="F42" s="75"/>
    </row>
    <row r="43">
      <c r="A43" s="184">
        <v>15.0</v>
      </c>
      <c r="B43" s="184">
        <v>16.0</v>
      </c>
      <c r="C43" s="184">
        <v>17.0</v>
      </c>
      <c r="D43" s="184">
        <v>18.0</v>
      </c>
      <c r="E43" s="9">
        <v>19.0</v>
      </c>
      <c r="F43" s="9">
        <v>20.0</v>
      </c>
    </row>
    <row r="44">
      <c r="A44" s="126" t="s">
        <v>8</v>
      </c>
      <c r="B44" s="98" t="s">
        <v>290</v>
      </c>
      <c r="C44" s="87" t="s">
        <v>10</v>
      </c>
      <c r="D44" s="101" t="s">
        <v>196</v>
      </c>
      <c r="E44" s="100" t="s">
        <v>12</v>
      </c>
      <c r="F44" s="82" t="s">
        <v>92</v>
      </c>
    </row>
    <row r="45">
      <c r="A45" s="14" t="s">
        <v>15</v>
      </c>
      <c r="B45" s="15" t="s">
        <v>291</v>
      </c>
      <c r="C45" s="16" t="s">
        <v>17</v>
      </c>
      <c r="D45" s="21" t="s">
        <v>18</v>
      </c>
      <c r="E45" s="100" t="s">
        <v>19</v>
      </c>
      <c r="F45" s="122" t="s">
        <v>93</v>
      </c>
    </row>
    <row r="46">
      <c r="A46" s="14" t="s">
        <v>241</v>
      </c>
      <c r="B46" s="89" t="s">
        <v>292</v>
      </c>
      <c r="C46" s="24"/>
      <c r="D46" s="23"/>
      <c r="E46" s="100" t="s">
        <v>98</v>
      </c>
      <c r="F46" s="51"/>
    </row>
    <row r="47">
      <c r="A47" s="24"/>
      <c r="B47" s="24"/>
      <c r="C47" s="22"/>
      <c r="D47" s="24"/>
      <c r="E47" s="104"/>
      <c r="F47" s="100" t="s">
        <v>12</v>
      </c>
    </row>
    <row r="48">
      <c r="A48" s="24"/>
      <c r="B48" s="17" t="s">
        <v>293</v>
      </c>
      <c r="C48" s="22"/>
      <c r="D48" s="85" t="s">
        <v>100</v>
      </c>
      <c r="E48" s="132"/>
      <c r="F48" s="100" t="s">
        <v>19</v>
      </c>
    </row>
    <row r="49">
      <c r="A49" s="24"/>
      <c r="B49" s="21" t="s">
        <v>294</v>
      </c>
      <c r="C49" s="24"/>
      <c r="D49" s="85" t="s">
        <v>103</v>
      </c>
      <c r="E49" s="87" t="s">
        <v>32</v>
      </c>
      <c r="F49" s="100" t="s">
        <v>98</v>
      </c>
    </row>
    <row r="50">
      <c r="A50" s="21" t="s">
        <v>295</v>
      </c>
      <c r="B50" s="21" t="s">
        <v>296</v>
      </c>
      <c r="C50" s="86" t="s">
        <v>297</v>
      </c>
      <c r="D50" s="33"/>
      <c r="E50" s="87" t="s">
        <v>36</v>
      </c>
      <c r="F50" s="51"/>
    </row>
    <row r="51">
      <c r="A51" s="21" t="s">
        <v>298</v>
      </c>
      <c r="B51" s="23"/>
      <c r="C51" s="86" t="s">
        <v>299</v>
      </c>
      <c r="D51" s="33"/>
      <c r="E51" s="101" t="s">
        <v>112</v>
      </c>
      <c r="F51" s="51"/>
    </row>
    <row r="52">
      <c r="A52" s="22"/>
      <c r="B52" s="23"/>
      <c r="C52" s="32" t="s">
        <v>300</v>
      </c>
      <c r="D52" s="15" t="s">
        <v>43</v>
      </c>
      <c r="E52" s="26"/>
      <c r="F52" s="44"/>
    </row>
    <row r="53">
      <c r="A53" s="33"/>
      <c r="B53" s="16" t="s">
        <v>301</v>
      </c>
      <c r="C53" s="24"/>
      <c r="D53" s="15" t="s">
        <v>47</v>
      </c>
      <c r="E53" s="28"/>
      <c r="F53" s="44"/>
    </row>
    <row r="54">
      <c r="A54" s="22"/>
      <c r="B54" s="16" t="s">
        <v>302</v>
      </c>
      <c r="C54" s="24"/>
      <c r="D54" s="89" t="s">
        <v>115</v>
      </c>
      <c r="E54" s="28"/>
      <c r="F54" s="51"/>
    </row>
    <row r="55">
      <c r="A55" s="22"/>
      <c r="B55" s="16" t="s">
        <v>303</v>
      </c>
      <c r="C55" s="39" t="s">
        <v>48</v>
      </c>
      <c r="D55" s="33"/>
      <c r="E55" s="40"/>
      <c r="F55" s="51"/>
    </row>
    <row r="56">
      <c r="A56" s="21" t="s">
        <v>304</v>
      </c>
      <c r="B56" s="24"/>
      <c r="C56" s="39" t="s">
        <v>51</v>
      </c>
      <c r="D56" s="24"/>
      <c r="E56" s="40"/>
      <c r="F56" s="44"/>
    </row>
    <row r="57">
      <c r="A57" s="21" t="s">
        <v>305</v>
      </c>
      <c r="B57" s="22"/>
      <c r="C57" s="33"/>
      <c r="D57" s="24"/>
      <c r="E57" s="40"/>
      <c r="F57" s="44"/>
    </row>
    <row r="58">
      <c r="A58" s="21" t="s">
        <v>306</v>
      </c>
      <c r="B58" s="22"/>
      <c r="C58" s="42"/>
      <c r="D58" s="24"/>
      <c r="F58" s="46"/>
    </row>
    <row r="59">
      <c r="A59" s="23"/>
      <c r="B59" s="22"/>
      <c r="C59" s="42"/>
      <c r="D59" s="24"/>
      <c r="E59" s="40"/>
      <c r="F59" s="46"/>
    </row>
    <row r="60">
      <c r="A60" s="46"/>
      <c r="B60" s="46"/>
      <c r="C60" s="46"/>
      <c r="D60" s="46"/>
      <c r="E60" s="46"/>
      <c r="F60" s="46"/>
    </row>
    <row r="61">
      <c r="A61" s="9">
        <v>22.0</v>
      </c>
      <c r="B61" s="9">
        <v>23.0</v>
      </c>
      <c r="C61" s="9">
        <v>24.0</v>
      </c>
      <c r="D61" s="10">
        <v>25.0</v>
      </c>
      <c r="E61" s="9">
        <v>26.0</v>
      </c>
      <c r="F61" s="9">
        <v>27.0</v>
      </c>
    </row>
    <row r="62">
      <c r="A62" s="14" t="s">
        <v>307</v>
      </c>
      <c r="B62" s="22"/>
      <c r="C62" s="16" t="s">
        <v>10</v>
      </c>
      <c r="D62" s="27" t="s">
        <v>196</v>
      </c>
      <c r="E62" s="18" t="s">
        <v>12</v>
      </c>
      <c r="F62" s="18" t="s">
        <v>12</v>
      </c>
    </row>
    <row r="63">
      <c r="A63" s="27" t="s">
        <v>308</v>
      </c>
      <c r="B63" s="22"/>
      <c r="C63" s="16" t="s">
        <v>17</v>
      </c>
      <c r="D63" s="21" t="s">
        <v>18</v>
      </c>
      <c r="E63" s="18" t="s">
        <v>19</v>
      </c>
      <c r="F63" s="18" t="s">
        <v>19</v>
      </c>
    </row>
    <row r="64">
      <c r="A64" s="14" t="s">
        <v>309</v>
      </c>
      <c r="B64" s="103"/>
      <c r="C64" s="24"/>
      <c r="D64" s="23"/>
      <c r="E64" s="18" t="s">
        <v>98</v>
      </c>
      <c r="F64" s="18" t="s">
        <v>98</v>
      </c>
    </row>
    <row r="65">
      <c r="A65" s="24"/>
      <c r="B65" s="24"/>
      <c r="C65" s="22"/>
      <c r="D65" s="24"/>
      <c r="E65" s="25"/>
      <c r="F65" s="185"/>
    </row>
    <row r="66">
      <c r="A66" s="24"/>
      <c r="B66" s="17" t="s">
        <v>310</v>
      </c>
      <c r="C66" s="22"/>
      <c r="D66" s="85" t="s">
        <v>100</v>
      </c>
      <c r="E66" s="30"/>
      <c r="F66" s="157"/>
    </row>
    <row r="67">
      <c r="A67" s="24"/>
      <c r="B67" s="21" t="s">
        <v>311</v>
      </c>
      <c r="C67" s="24"/>
      <c r="D67" s="85" t="s">
        <v>103</v>
      </c>
      <c r="E67" s="21" t="s">
        <v>312</v>
      </c>
      <c r="F67" s="157"/>
    </row>
    <row r="68">
      <c r="A68" s="21" t="s">
        <v>313</v>
      </c>
      <c r="B68" s="21" t="s">
        <v>314</v>
      </c>
      <c r="C68" s="86" t="s">
        <v>315</v>
      </c>
      <c r="D68" s="33"/>
      <c r="E68" s="21" t="s">
        <v>316</v>
      </c>
      <c r="F68" s="160"/>
    </row>
    <row r="69">
      <c r="A69" s="21" t="s">
        <v>317</v>
      </c>
      <c r="B69" s="33"/>
      <c r="C69" s="86" t="s">
        <v>318</v>
      </c>
      <c r="D69" s="33"/>
      <c r="E69" s="21" t="s">
        <v>319</v>
      </c>
      <c r="F69" s="51"/>
    </row>
    <row r="70">
      <c r="A70" s="21" t="s">
        <v>320</v>
      </c>
      <c r="B70" s="33"/>
      <c r="C70" s="86" t="s">
        <v>321</v>
      </c>
      <c r="D70" s="15" t="s">
        <v>43</v>
      </c>
      <c r="E70" s="178"/>
      <c r="F70" s="51"/>
    </row>
    <row r="71">
      <c r="A71" s="33"/>
      <c r="B71" s="16" t="s">
        <v>322</v>
      </c>
      <c r="C71" s="24"/>
      <c r="D71" s="15" t="s">
        <v>47</v>
      </c>
      <c r="E71" s="15" t="s">
        <v>323</v>
      </c>
      <c r="F71" s="51"/>
    </row>
    <row r="72">
      <c r="A72" s="22"/>
      <c r="B72" s="16" t="s">
        <v>324</v>
      </c>
      <c r="C72" s="24"/>
      <c r="D72" s="89" t="s">
        <v>115</v>
      </c>
      <c r="E72" s="15" t="s">
        <v>325</v>
      </c>
      <c r="F72" s="51"/>
    </row>
    <row r="73">
      <c r="A73" s="22"/>
      <c r="B73" s="16" t="s">
        <v>326</v>
      </c>
      <c r="C73" s="35"/>
      <c r="D73" s="33"/>
      <c r="E73" s="186" t="s">
        <v>327</v>
      </c>
      <c r="F73" s="51"/>
    </row>
    <row r="74">
      <c r="A74" s="21" t="s">
        <v>328</v>
      </c>
      <c r="B74" s="24"/>
      <c r="C74" s="35"/>
      <c r="D74" s="24"/>
      <c r="E74" s="150"/>
      <c r="F74" s="44"/>
    </row>
    <row r="75">
      <c r="A75" s="21" t="s">
        <v>329</v>
      </c>
      <c r="B75" s="33"/>
      <c r="C75" s="33"/>
      <c r="D75" s="24"/>
      <c r="E75" s="180"/>
      <c r="F75" s="44"/>
    </row>
    <row r="76">
      <c r="A76" s="21" t="s">
        <v>330</v>
      </c>
      <c r="B76" s="33"/>
      <c r="C76" s="42"/>
      <c r="D76" s="24"/>
      <c r="E76" s="187" t="s">
        <v>82</v>
      </c>
      <c r="F76" s="46"/>
    </row>
    <row r="77">
      <c r="A77" s="23"/>
      <c r="B77" s="42"/>
      <c r="C77" s="42"/>
      <c r="D77" s="24"/>
      <c r="E77" s="187" t="s">
        <v>84</v>
      </c>
      <c r="F77" s="46"/>
    </row>
    <row r="78">
      <c r="A78" s="70"/>
      <c r="B78" s="69"/>
      <c r="C78" s="69"/>
      <c r="D78" s="69"/>
      <c r="E78" s="56"/>
      <c r="F78" s="46"/>
    </row>
    <row r="79">
      <c r="A79" s="44"/>
      <c r="B79" s="95"/>
      <c r="C79" s="51"/>
      <c r="D79" s="51"/>
      <c r="E79" s="51"/>
      <c r="F79" s="51"/>
    </row>
    <row r="80">
      <c r="A80" s="51"/>
      <c r="B80" s="51"/>
      <c r="C80" s="51"/>
      <c r="D80" s="51"/>
      <c r="E80" s="51"/>
      <c r="F80" s="51"/>
    </row>
    <row r="81">
      <c r="A81" s="75"/>
      <c r="B81" s="75"/>
      <c r="C81" s="75"/>
      <c r="D81" s="75"/>
      <c r="E81" s="75"/>
      <c r="F81" s="188"/>
    </row>
    <row r="82">
      <c r="A82" s="76">
        <v>29.0</v>
      </c>
      <c r="B82" s="76">
        <v>30.0</v>
      </c>
      <c r="C82" s="8"/>
      <c r="D82" s="147"/>
      <c r="E82" s="147"/>
      <c r="F82" s="147"/>
    </row>
    <row r="83">
      <c r="A83" s="14" t="s">
        <v>8</v>
      </c>
      <c r="B83" s="15" t="s">
        <v>331</v>
      </c>
      <c r="C83" s="47"/>
      <c r="D83" s="47"/>
      <c r="E83" s="47"/>
      <c r="F83" s="47"/>
    </row>
    <row r="84">
      <c r="A84" s="14" t="s">
        <v>332</v>
      </c>
      <c r="B84" s="15" t="s">
        <v>333</v>
      </c>
      <c r="C84" s="47"/>
      <c r="D84" s="47"/>
      <c r="E84" s="47"/>
      <c r="F84" s="47"/>
    </row>
    <row r="85">
      <c r="A85" s="14" t="s">
        <v>334</v>
      </c>
      <c r="B85" s="186" t="s">
        <v>327</v>
      </c>
      <c r="C85" s="47"/>
      <c r="D85" s="47"/>
      <c r="E85" s="47"/>
      <c r="F85" s="47"/>
    </row>
    <row r="86">
      <c r="A86" s="24"/>
      <c r="B86" s="24"/>
      <c r="C86" s="47"/>
      <c r="D86" s="47"/>
      <c r="E86" s="47"/>
      <c r="F86" s="47"/>
    </row>
    <row r="87">
      <c r="A87" s="24"/>
      <c r="B87" s="27" t="s">
        <v>335</v>
      </c>
      <c r="C87" s="47"/>
      <c r="D87" s="47"/>
      <c r="E87" s="47"/>
      <c r="F87" s="47"/>
    </row>
    <row r="88">
      <c r="A88" s="24"/>
      <c r="B88" s="21" t="s">
        <v>336</v>
      </c>
      <c r="C88" s="47"/>
      <c r="D88" s="47"/>
      <c r="E88" s="47"/>
      <c r="F88" s="47"/>
    </row>
    <row r="89">
      <c r="A89" s="21" t="s">
        <v>337</v>
      </c>
      <c r="B89" s="21" t="s">
        <v>338</v>
      </c>
      <c r="C89" s="47"/>
      <c r="D89" s="47"/>
      <c r="E89" s="47"/>
      <c r="F89" s="47"/>
    </row>
    <row r="90">
      <c r="A90" s="161"/>
      <c r="B90" s="33"/>
      <c r="C90" s="47"/>
      <c r="D90" s="47"/>
      <c r="E90" s="47"/>
      <c r="F90" s="47"/>
    </row>
    <row r="91">
      <c r="A91" s="22"/>
      <c r="B91" s="33"/>
      <c r="C91" s="47"/>
      <c r="D91" s="47"/>
      <c r="E91" s="47"/>
      <c r="F91" s="47"/>
    </row>
    <row r="92">
      <c r="A92" s="33"/>
      <c r="B92" s="189"/>
      <c r="C92" s="47"/>
      <c r="D92" s="47"/>
      <c r="E92" s="47"/>
      <c r="F92" s="47"/>
    </row>
    <row r="93">
      <c r="A93" s="22"/>
      <c r="B93" s="189"/>
      <c r="C93" s="47"/>
      <c r="D93" s="47"/>
      <c r="E93" s="47"/>
      <c r="F93" s="47"/>
    </row>
    <row r="94">
      <c r="A94" s="22"/>
      <c r="B94" s="189"/>
      <c r="C94" s="47"/>
      <c r="D94" s="51"/>
      <c r="E94" s="51"/>
      <c r="F94" s="51"/>
    </row>
    <row r="95">
      <c r="A95" s="160"/>
      <c r="B95" s="65"/>
      <c r="C95" s="47"/>
      <c r="D95" s="51"/>
      <c r="E95" s="51"/>
      <c r="F95" s="51"/>
    </row>
    <row r="96">
      <c r="A96" s="160"/>
      <c r="B96" s="28"/>
      <c r="C96" s="47"/>
      <c r="D96" s="51"/>
      <c r="E96" s="51"/>
      <c r="F96" s="51"/>
    </row>
    <row r="97">
      <c r="A97" s="160"/>
      <c r="B97" s="28"/>
      <c r="C97" s="46"/>
      <c r="D97" s="46"/>
      <c r="E97" s="46"/>
      <c r="F97" s="190"/>
    </row>
    <row r="98">
      <c r="A98" s="70"/>
      <c r="B98" s="69"/>
      <c r="C98" s="46"/>
      <c r="D98" s="46"/>
      <c r="E98" s="46"/>
      <c r="F98" s="190"/>
    </row>
    <row r="99">
      <c r="A99" s="70"/>
      <c r="B99" s="69"/>
      <c r="C99" s="46"/>
      <c r="D99" s="46"/>
      <c r="E99" s="46"/>
      <c r="F99" s="190"/>
    </row>
    <row r="100">
      <c r="A100" s="75"/>
      <c r="B100" s="75"/>
      <c r="C100" s="75"/>
      <c r="D100" s="75"/>
      <c r="E100" s="75"/>
      <c r="F100" s="183"/>
    </row>
  </sheetData>
  <mergeCells count="1">
    <mergeCell ref="A1:F1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7.14"/>
    <col customWidth="1" min="5" max="5" width="28.71"/>
    <col customWidth="1" min="6" max="6" width="21.57"/>
    <col customWidth="1" min="7" max="7" width="9.57"/>
    <col customWidth="1" min="8" max="8" width="3.29"/>
    <col customWidth="1" min="9" max="9" width="7.43"/>
    <col customWidth="1" min="10" max="10" width="3.29"/>
  </cols>
  <sheetData>
    <row r="1">
      <c r="A1" s="1">
        <v>45870.0</v>
      </c>
      <c r="B1" s="2"/>
      <c r="C1" s="2"/>
      <c r="D1" s="2"/>
      <c r="E1" s="2"/>
      <c r="F1" s="3"/>
    </row>
    <row r="2">
      <c r="A2" s="136" t="s">
        <v>339</v>
      </c>
      <c r="B2" s="137" t="s">
        <v>340</v>
      </c>
      <c r="C2" s="137" t="s">
        <v>341</v>
      </c>
      <c r="D2" s="137" t="s">
        <v>342</v>
      </c>
      <c r="E2" s="138" t="s">
        <v>343</v>
      </c>
      <c r="F2" s="191" t="s">
        <v>5</v>
      </c>
    </row>
    <row r="3">
      <c r="A3" s="192"/>
      <c r="B3" s="192"/>
      <c r="C3" s="192"/>
      <c r="D3" s="9"/>
      <c r="E3" s="9">
        <v>1.0</v>
      </c>
      <c r="F3" s="10">
        <v>2.0</v>
      </c>
      <c r="G3" s="11" t="s">
        <v>344</v>
      </c>
      <c r="H3" s="12">
        <f>COUNTIF($A:$F, "*진로취업*")</f>
        <v>16</v>
      </c>
      <c r="I3" s="13" t="s">
        <v>7</v>
      </c>
      <c r="J3" s="12">
        <f>COUNTIF($A:$F, "*강 진*")</f>
        <v>4</v>
      </c>
    </row>
    <row r="4">
      <c r="A4" s="49" t="s">
        <v>345</v>
      </c>
      <c r="B4" s="50"/>
      <c r="C4" s="50"/>
      <c r="D4" s="50"/>
      <c r="E4" s="50"/>
      <c r="F4" s="50"/>
      <c r="G4" s="11" t="s">
        <v>13</v>
      </c>
      <c r="H4" s="12">
        <f>COUNTIF($A:$F, "*서류면접*")</f>
        <v>28</v>
      </c>
      <c r="I4" s="20" t="s">
        <v>14</v>
      </c>
      <c r="J4" s="12">
        <f>COUNTIF($A:$F, "*김나영*")</f>
        <v>4</v>
      </c>
    </row>
    <row r="5">
      <c r="A5" s="193"/>
      <c r="B5" s="48"/>
      <c r="C5" s="48"/>
      <c r="D5" s="48"/>
      <c r="E5" s="194"/>
      <c r="F5" s="195"/>
      <c r="G5" s="11" t="s">
        <v>20</v>
      </c>
      <c r="H5" s="12">
        <f>COUNTIF($A:$F, "*공기업*")</f>
        <v>1</v>
      </c>
      <c r="I5" s="20" t="s">
        <v>21</v>
      </c>
      <c r="J5" s="12">
        <f>COUNTIF($A:$F, "*김미령*")</f>
        <v>0</v>
      </c>
    </row>
    <row r="6">
      <c r="A6" s="46"/>
      <c r="B6" s="46"/>
      <c r="C6" s="46"/>
      <c r="D6" s="46"/>
      <c r="E6" s="46"/>
      <c r="F6" s="75"/>
      <c r="G6" s="11" t="s">
        <v>22</v>
      </c>
      <c r="H6" s="12">
        <f>COUNTIF($A:$F, "*외국계*")</f>
        <v>2</v>
      </c>
      <c r="I6" s="20" t="s">
        <v>23</v>
      </c>
      <c r="J6" s="12">
        <f>COUNTIF($A:$F, "*김민경*")</f>
        <v>0</v>
      </c>
    </row>
    <row r="7">
      <c r="A7" s="9">
        <v>4.0</v>
      </c>
      <c r="B7" s="9">
        <v>5.0</v>
      </c>
      <c r="C7" s="10">
        <v>6.0</v>
      </c>
      <c r="D7" s="9">
        <v>7.0</v>
      </c>
      <c r="E7" s="10">
        <v>8.0</v>
      </c>
      <c r="F7" s="9">
        <v>9.0</v>
      </c>
      <c r="G7" s="11" t="s">
        <v>25</v>
      </c>
      <c r="H7" s="12">
        <f>COUNTIF($A:$F, "*이공계*")</f>
        <v>4</v>
      </c>
      <c r="I7" s="20" t="s">
        <v>26</v>
      </c>
      <c r="J7" s="12">
        <f>COUNTIF($A:$F, "*김선화*")</f>
        <v>6</v>
      </c>
    </row>
    <row r="8">
      <c r="A8" s="196"/>
      <c r="B8" s="196"/>
      <c r="C8" s="196"/>
      <c r="D8" s="196"/>
      <c r="E8" s="195"/>
      <c r="F8" s="195"/>
      <c r="G8" s="11" t="s">
        <v>29</v>
      </c>
      <c r="H8" s="12">
        <f>COUNTIF($A:$F, "*콘텐츠*")</f>
        <v>0</v>
      </c>
      <c r="I8" s="20" t="s">
        <v>30</v>
      </c>
      <c r="J8" s="12">
        <f>COUNTIF($A:$F, "*김세희*")</f>
        <v>0</v>
      </c>
    </row>
    <row r="9">
      <c r="A9" s="197" t="s">
        <v>8</v>
      </c>
      <c r="B9" s="47"/>
      <c r="C9" s="198" t="s">
        <v>346</v>
      </c>
      <c r="D9" s="199" t="s">
        <v>347</v>
      </c>
      <c r="E9" s="200" t="s">
        <v>32</v>
      </c>
      <c r="F9" s="195"/>
      <c r="G9" s="11" t="s">
        <v>33</v>
      </c>
      <c r="H9" s="12">
        <f>COUNTIF($A:$F, "*금융*")</f>
        <v>0</v>
      </c>
      <c r="I9" s="20" t="s">
        <v>34</v>
      </c>
      <c r="J9" s="12">
        <f>COUNTIF($A:$F, "*김지현*")</f>
        <v>4</v>
      </c>
    </row>
    <row r="10">
      <c r="A10" s="197" t="s">
        <v>15</v>
      </c>
      <c r="B10" s="47"/>
      <c r="C10" s="198" t="s">
        <v>348</v>
      </c>
      <c r="D10" s="199" t="s">
        <v>349</v>
      </c>
      <c r="E10" s="200" t="s">
        <v>36</v>
      </c>
      <c r="F10" s="195"/>
      <c r="G10" s="34" t="s">
        <v>37</v>
      </c>
      <c r="H10" s="12">
        <f>COUNTIF($A:$F, "*IT*")</f>
        <v>0</v>
      </c>
      <c r="I10" s="20" t="s">
        <v>38</v>
      </c>
      <c r="J10" s="12">
        <f>COUNTIF($A:$F, "*범하나*")</f>
        <v>6</v>
      </c>
    </row>
    <row r="11">
      <c r="A11" s="47"/>
      <c r="B11" s="47"/>
      <c r="C11" s="47"/>
      <c r="D11" s="47"/>
      <c r="E11" s="47"/>
      <c r="F11" s="195"/>
      <c r="G11" s="11" t="s">
        <v>40</v>
      </c>
      <c r="H11" s="12">
        <f>COUNTIF($A:$F, "*임원면접*")</f>
        <v>0</v>
      </c>
      <c r="I11" s="20" t="s">
        <v>41</v>
      </c>
      <c r="J11" s="12">
        <f>COUNTIF($A:$F, "*성지우*")</f>
        <v>0</v>
      </c>
    </row>
    <row r="12">
      <c r="A12" s="47"/>
      <c r="B12" s="47"/>
      <c r="C12" s="47"/>
      <c r="D12" s="47"/>
      <c r="E12" s="47"/>
      <c r="F12" s="195"/>
      <c r="G12" s="37" t="s">
        <v>44</v>
      </c>
      <c r="H12" s="38">
        <f>sum(H3:H11)</f>
        <v>51</v>
      </c>
      <c r="I12" s="20" t="s">
        <v>45</v>
      </c>
      <c r="J12" s="12">
        <f>COUNTIF($A:$F, "*신민이*")</f>
        <v>4</v>
      </c>
    </row>
    <row r="13">
      <c r="A13" s="47"/>
      <c r="B13" s="47"/>
      <c r="C13" s="201" t="s">
        <v>350</v>
      </c>
      <c r="E13" s="47"/>
      <c r="F13" s="195"/>
      <c r="I13" s="20" t="s">
        <v>49</v>
      </c>
      <c r="J13" s="12">
        <f>COUNTIF($A:$F, "*심영섭*")</f>
        <v>9</v>
      </c>
    </row>
    <row r="14">
      <c r="A14" s="198" t="s">
        <v>351</v>
      </c>
      <c r="B14" s="47"/>
      <c r="C14" s="201" t="s">
        <v>352</v>
      </c>
      <c r="D14" s="47"/>
      <c r="E14" s="201" t="s">
        <v>353</v>
      </c>
      <c r="F14" s="195"/>
      <c r="I14" s="20" t="s">
        <v>52</v>
      </c>
      <c r="J14" s="12">
        <f>COUNTIF($A:$F, "*양우석*")</f>
        <v>0</v>
      </c>
    </row>
    <row r="15">
      <c r="A15" s="198" t="s">
        <v>354</v>
      </c>
      <c r="B15" s="47"/>
      <c r="C15" s="47"/>
      <c r="D15" s="47"/>
      <c r="E15" s="201" t="s">
        <v>12</v>
      </c>
      <c r="F15" s="195"/>
      <c r="I15" s="20" t="s">
        <v>53</v>
      </c>
      <c r="J15" s="12">
        <f>COUNTIF($A:$F, "*이상환*")</f>
        <v>0</v>
      </c>
    </row>
    <row r="16">
      <c r="A16" s="47"/>
      <c r="B16" s="47"/>
      <c r="C16" s="47"/>
      <c r="D16" s="47"/>
      <c r="E16" s="47"/>
      <c r="F16" s="195"/>
      <c r="I16" s="20" t="s">
        <v>55</v>
      </c>
      <c r="J16" s="12">
        <f>COUNTIF($A:$F, "*이주환*")</f>
        <v>0</v>
      </c>
    </row>
    <row r="17">
      <c r="A17" s="47"/>
      <c r="B17" s="47"/>
      <c r="C17" s="47"/>
      <c r="D17" s="47"/>
      <c r="E17" s="47"/>
      <c r="F17" s="195"/>
      <c r="I17" s="20" t="s">
        <v>57</v>
      </c>
      <c r="J17" s="12">
        <f>COUNTIF($A:$F, "*이하영*")</f>
        <v>0</v>
      </c>
    </row>
    <row r="18">
      <c r="A18" s="47"/>
      <c r="B18" s="47"/>
      <c r="C18" s="47"/>
      <c r="D18" s="198" t="s">
        <v>355</v>
      </c>
      <c r="E18" s="47"/>
      <c r="F18" s="195"/>
      <c r="I18" s="20" t="s">
        <v>58</v>
      </c>
      <c r="J18" s="12">
        <f>COUNTIF($A:$F, "*이효숙*")</f>
        <v>0</v>
      </c>
    </row>
    <row r="19">
      <c r="A19" s="200" t="s">
        <v>356</v>
      </c>
      <c r="B19" s="47"/>
      <c r="C19" s="47"/>
      <c r="D19" s="198" t="s">
        <v>357</v>
      </c>
      <c r="E19" s="47"/>
      <c r="F19" s="195"/>
      <c r="I19" s="20" t="s">
        <v>59</v>
      </c>
      <c r="J19" s="12">
        <f>COUNTIF($A:$F, "*이희영*")</f>
        <v>2</v>
      </c>
    </row>
    <row r="20">
      <c r="A20" s="200" t="s">
        <v>358</v>
      </c>
      <c r="B20" s="47"/>
      <c r="C20" s="47"/>
      <c r="D20" s="47"/>
      <c r="E20" s="47"/>
      <c r="F20" s="195"/>
      <c r="I20" s="20" t="s">
        <v>60</v>
      </c>
      <c r="J20" s="12">
        <f>COUNTIF($A:$F, "*장신혜*")</f>
        <v>2</v>
      </c>
    </row>
    <row r="21">
      <c r="A21" s="47"/>
      <c r="B21" s="47"/>
      <c r="C21" s="47"/>
      <c r="D21" s="47"/>
      <c r="E21" s="47"/>
      <c r="F21" s="195"/>
      <c r="I21" s="20" t="s">
        <v>61</v>
      </c>
      <c r="J21" s="12">
        <f>COUNTIF($A:$F, "*정지선*")</f>
        <v>4</v>
      </c>
    </row>
    <row r="22">
      <c r="A22" s="47"/>
      <c r="B22" s="47"/>
      <c r="C22" s="47"/>
      <c r="D22" s="47"/>
      <c r="E22" s="47"/>
      <c r="F22" s="195"/>
      <c r="I22" s="20" t="s">
        <v>62</v>
      </c>
      <c r="J22" s="12">
        <f>COUNTIF($A:$F, "*지명선*")</f>
        <v>2</v>
      </c>
    </row>
    <row r="23">
      <c r="A23" s="46"/>
      <c r="B23" s="47"/>
      <c r="C23" s="47"/>
      <c r="D23" s="202" t="s">
        <v>359</v>
      </c>
      <c r="E23" s="47"/>
      <c r="F23" s="195"/>
      <c r="I23" s="20" t="s">
        <v>63</v>
      </c>
      <c r="J23" s="12">
        <f>COUNTIF($A:$F, "*최은주*")</f>
        <v>0</v>
      </c>
    </row>
    <row r="24">
      <c r="A24" s="46"/>
      <c r="B24" s="47"/>
      <c r="C24" s="51"/>
      <c r="D24" s="202" t="s">
        <v>360</v>
      </c>
      <c r="E24" s="51"/>
      <c r="F24" s="195"/>
      <c r="I24" s="20" t="s">
        <v>65</v>
      </c>
      <c r="J24" s="12">
        <f>COUNTIF($A:$F, "*한 나*")</f>
        <v>4</v>
      </c>
    </row>
    <row r="25">
      <c r="A25" s="201" t="s">
        <v>361</v>
      </c>
      <c r="B25" s="190"/>
      <c r="C25" s="46"/>
      <c r="D25" s="47"/>
      <c r="E25" s="46"/>
      <c r="F25" s="195"/>
      <c r="I25" s="20" t="s">
        <v>66</v>
      </c>
      <c r="J25" s="12">
        <f>COUNTIF($A:$F, "*민현정*")</f>
        <v>0</v>
      </c>
    </row>
    <row r="26">
      <c r="A26" s="201" t="s">
        <v>362</v>
      </c>
      <c r="B26" s="46"/>
      <c r="C26" s="46"/>
      <c r="D26" s="46"/>
      <c r="E26" s="46"/>
      <c r="F26" s="195"/>
      <c r="I26" s="54" t="s">
        <v>44</v>
      </c>
      <c r="J26" s="38">
        <f>sum(J3:J25)</f>
        <v>51</v>
      </c>
    </row>
    <row r="27">
      <c r="A27" s="47"/>
      <c r="B27" s="46"/>
      <c r="C27" s="46"/>
      <c r="D27" s="46"/>
      <c r="E27" s="46"/>
      <c r="F27" s="46"/>
    </row>
    <row r="28">
      <c r="A28" s="47"/>
      <c r="B28" s="47"/>
      <c r="C28" s="51"/>
      <c r="D28" s="51"/>
      <c r="E28" s="51"/>
      <c r="F28" s="46"/>
    </row>
    <row r="29">
      <c r="A29" s="203"/>
      <c r="B29" s="203"/>
      <c r="C29" s="203"/>
      <c r="D29" s="204"/>
      <c r="E29" s="75"/>
      <c r="F29" s="75"/>
    </row>
    <row r="30">
      <c r="A30" s="76">
        <v>11.0</v>
      </c>
      <c r="B30" s="76">
        <v>12.0</v>
      </c>
      <c r="C30" s="76">
        <v>13.0</v>
      </c>
      <c r="D30" s="76">
        <v>14.0</v>
      </c>
      <c r="E30" s="148">
        <v>15.0</v>
      </c>
      <c r="F30" s="76">
        <v>16.0</v>
      </c>
    </row>
    <row r="31">
      <c r="A31" s="48"/>
      <c r="B31" s="48"/>
      <c r="C31" s="48"/>
      <c r="D31" s="48"/>
      <c r="E31" s="64" t="s">
        <v>363</v>
      </c>
      <c r="F31" s="62"/>
    </row>
    <row r="32">
      <c r="A32" s="48"/>
      <c r="B32" s="48"/>
      <c r="C32" s="48"/>
      <c r="D32" s="47"/>
      <c r="E32" s="195"/>
      <c r="F32" s="195"/>
    </row>
    <row r="33">
      <c r="A33" s="197" t="s">
        <v>8</v>
      </c>
      <c r="B33" s="205" t="s">
        <v>364</v>
      </c>
      <c r="C33" s="198" t="s">
        <v>346</v>
      </c>
      <c r="D33" s="199" t="s">
        <v>347</v>
      </c>
      <c r="E33" s="195"/>
      <c r="F33" s="195"/>
    </row>
    <row r="34">
      <c r="A34" s="197" t="s">
        <v>15</v>
      </c>
      <c r="B34" s="201" t="s">
        <v>365</v>
      </c>
      <c r="C34" s="198" t="s">
        <v>348</v>
      </c>
      <c r="D34" s="199" t="s">
        <v>349</v>
      </c>
      <c r="E34" s="195"/>
      <c r="F34" s="195"/>
    </row>
    <row r="35">
      <c r="A35" s="47"/>
      <c r="B35" s="201" t="s">
        <v>366</v>
      </c>
      <c r="C35" s="47"/>
      <c r="D35" s="47"/>
      <c r="E35" s="195"/>
      <c r="F35" s="195"/>
    </row>
    <row r="36">
      <c r="A36" s="47"/>
      <c r="B36" s="47"/>
      <c r="C36" s="47"/>
      <c r="D36" s="47"/>
      <c r="E36" s="195"/>
      <c r="F36" s="195"/>
    </row>
    <row r="37">
      <c r="A37" s="47"/>
      <c r="B37" s="47"/>
      <c r="C37" s="201" t="s">
        <v>350</v>
      </c>
      <c r="E37" s="195"/>
      <c r="F37" s="195"/>
    </row>
    <row r="38">
      <c r="A38" s="44"/>
      <c r="B38" s="198" t="s">
        <v>367</v>
      </c>
      <c r="C38" s="201" t="s">
        <v>352</v>
      </c>
      <c r="D38" s="47"/>
      <c r="E38" s="195"/>
      <c r="F38" s="195"/>
    </row>
    <row r="39">
      <c r="A39" s="44"/>
      <c r="B39" s="198" t="s">
        <v>368</v>
      </c>
      <c r="C39" s="47"/>
      <c r="D39" s="47"/>
      <c r="E39" s="195"/>
      <c r="F39" s="195"/>
    </row>
    <row r="40">
      <c r="A40" s="47"/>
      <c r="B40" s="47"/>
      <c r="C40" s="47"/>
      <c r="D40" s="47"/>
      <c r="E40" s="195"/>
      <c r="F40" s="195"/>
    </row>
    <row r="41">
      <c r="A41" s="47"/>
      <c r="B41" s="47"/>
      <c r="C41" s="51"/>
      <c r="D41" s="47"/>
      <c r="E41" s="195"/>
      <c r="F41" s="195"/>
    </row>
    <row r="42">
      <c r="A42" s="47"/>
      <c r="B42" s="47"/>
      <c r="C42" s="51"/>
      <c r="D42" s="198" t="s">
        <v>369</v>
      </c>
      <c r="E42" s="195"/>
      <c r="F42" s="195"/>
    </row>
    <row r="43">
      <c r="A43" s="200" t="s">
        <v>356</v>
      </c>
      <c r="B43" s="47"/>
      <c r="C43" s="47"/>
      <c r="D43" s="198" t="s">
        <v>370</v>
      </c>
      <c r="E43" s="47"/>
      <c r="F43" s="195"/>
    </row>
    <row r="44">
      <c r="A44" s="200" t="s">
        <v>358</v>
      </c>
      <c r="B44" s="47"/>
      <c r="C44" s="47"/>
      <c r="D44" s="47"/>
      <c r="E44" s="47"/>
      <c r="F44" s="195"/>
    </row>
    <row r="45">
      <c r="A45" s="47"/>
      <c r="B45" s="47"/>
      <c r="C45" s="47"/>
      <c r="D45" s="47"/>
      <c r="E45" s="47"/>
      <c r="F45" s="195"/>
    </row>
    <row r="46">
      <c r="A46" s="47"/>
      <c r="B46" s="47"/>
      <c r="C46" s="47"/>
      <c r="D46" s="201" t="s">
        <v>371</v>
      </c>
      <c r="E46" s="47"/>
      <c r="F46" s="195"/>
    </row>
    <row r="47">
      <c r="A47" s="46"/>
      <c r="B47" s="47"/>
      <c r="C47" s="47"/>
      <c r="D47" s="201" t="s">
        <v>372</v>
      </c>
      <c r="E47" s="47"/>
      <c r="F47" s="195"/>
    </row>
    <row r="48">
      <c r="A48" s="46"/>
      <c r="B48" s="201" t="s">
        <v>361</v>
      </c>
      <c r="C48" s="51"/>
      <c r="D48" s="201" t="s">
        <v>373</v>
      </c>
      <c r="E48" s="51"/>
      <c r="F48" s="195"/>
    </row>
    <row r="49">
      <c r="A49" s="44"/>
      <c r="B49" s="201" t="s">
        <v>362</v>
      </c>
      <c r="C49" s="46"/>
      <c r="D49" s="46"/>
      <c r="E49" s="46"/>
      <c r="F49" s="195"/>
    </row>
    <row r="50">
      <c r="A50" s="44"/>
      <c r="B50" s="46"/>
      <c r="C50" s="46"/>
      <c r="D50" s="46"/>
      <c r="E50" s="46"/>
      <c r="F50" s="195"/>
    </row>
    <row r="51">
      <c r="A51" s="47"/>
      <c r="B51" s="46"/>
      <c r="C51" s="46"/>
      <c r="D51" s="46"/>
      <c r="E51" s="46"/>
      <c r="F51" s="195"/>
    </row>
    <row r="52">
      <c r="A52" s="48"/>
      <c r="B52" s="206"/>
      <c r="C52" s="206"/>
      <c r="D52" s="207"/>
      <c r="E52" s="207"/>
      <c r="F52" s="195"/>
    </row>
    <row r="53">
      <c r="A53" s="46"/>
      <c r="B53" s="46"/>
      <c r="C53" s="46"/>
      <c r="D53" s="46"/>
      <c r="E53" s="46"/>
      <c r="F53" s="46"/>
    </row>
    <row r="54">
      <c r="A54" s="10">
        <v>18.0</v>
      </c>
      <c r="B54" s="10">
        <v>19.0</v>
      </c>
      <c r="C54" s="10">
        <v>20.0</v>
      </c>
      <c r="D54" s="10">
        <v>21.0</v>
      </c>
      <c r="E54" s="10">
        <v>22.0</v>
      </c>
      <c r="F54" s="10">
        <v>23.0</v>
      </c>
    </row>
    <row r="55">
      <c r="A55" s="146"/>
      <c r="B55" s="146"/>
      <c r="C55" s="208" t="s">
        <v>374</v>
      </c>
      <c r="D55" s="209"/>
      <c r="E55" s="146"/>
      <c r="F55" s="146"/>
    </row>
    <row r="56">
      <c r="A56" s="146"/>
      <c r="B56" s="146"/>
      <c r="C56" s="146"/>
      <c r="D56" s="146"/>
      <c r="E56" s="146"/>
      <c r="F56" s="146"/>
    </row>
    <row r="57">
      <c r="A57" s="47"/>
      <c r="B57" s="47"/>
      <c r="C57" s="47"/>
      <c r="D57" s="47"/>
      <c r="E57" s="47"/>
      <c r="F57" s="47"/>
    </row>
    <row r="58">
      <c r="A58" s="47"/>
      <c r="B58" s="47"/>
      <c r="C58" s="47"/>
      <c r="D58" s="47"/>
      <c r="E58" s="47"/>
      <c r="F58" s="47"/>
    </row>
    <row r="59">
      <c r="A59" s="47"/>
      <c r="B59" s="47"/>
      <c r="C59" s="47"/>
      <c r="D59" s="47"/>
      <c r="E59" s="47"/>
      <c r="F59" s="47"/>
    </row>
    <row r="60">
      <c r="A60" s="47"/>
      <c r="B60" s="47"/>
      <c r="C60" s="47"/>
      <c r="D60" s="47"/>
      <c r="E60" s="47"/>
      <c r="F60" s="47"/>
    </row>
    <row r="61">
      <c r="A61" s="47"/>
      <c r="B61" s="47"/>
      <c r="C61" s="47"/>
      <c r="D61" s="47"/>
      <c r="E61" s="47"/>
      <c r="F61" s="47"/>
    </row>
    <row r="62">
      <c r="A62" s="47"/>
      <c r="B62" s="47"/>
      <c r="C62" s="47"/>
      <c r="D62" s="47"/>
      <c r="E62" s="47"/>
      <c r="F62" s="47"/>
    </row>
    <row r="63">
      <c r="A63" s="47"/>
      <c r="B63" s="47"/>
      <c r="C63" s="47"/>
      <c r="D63" s="47"/>
      <c r="E63" s="47"/>
      <c r="F63" s="47"/>
    </row>
    <row r="64">
      <c r="A64" s="47"/>
      <c r="B64" s="47"/>
      <c r="C64" s="47"/>
      <c r="D64" s="47"/>
      <c r="E64" s="47"/>
      <c r="F64" s="47"/>
    </row>
    <row r="65">
      <c r="A65" s="47"/>
      <c r="B65" s="47"/>
      <c r="C65" s="47"/>
      <c r="D65" s="47"/>
      <c r="E65" s="47"/>
      <c r="F65" s="47"/>
    </row>
    <row r="66">
      <c r="A66" s="47"/>
      <c r="B66" s="47"/>
      <c r="C66" s="47"/>
      <c r="D66" s="47"/>
      <c r="E66" s="47"/>
      <c r="F66" s="47"/>
    </row>
    <row r="67">
      <c r="A67" s="47"/>
      <c r="B67" s="47"/>
      <c r="C67" s="47"/>
      <c r="D67" s="47"/>
      <c r="E67" s="47"/>
      <c r="F67" s="47"/>
    </row>
    <row r="68">
      <c r="A68" s="47"/>
      <c r="B68" s="47"/>
      <c r="C68" s="47"/>
      <c r="D68" s="47"/>
      <c r="E68" s="47"/>
      <c r="F68" s="47"/>
    </row>
    <row r="69">
      <c r="A69" s="47"/>
      <c r="B69" s="47"/>
      <c r="C69" s="47"/>
      <c r="D69" s="47"/>
      <c r="E69" s="47"/>
      <c r="F69" s="47"/>
    </row>
    <row r="70">
      <c r="A70" s="47"/>
      <c r="B70" s="47"/>
      <c r="C70" s="47"/>
      <c r="D70" s="47"/>
      <c r="E70" s="47"/>
      <c r="F70" s="47"/>
    </row>
    <row r="71">
      <c r="A71" s="47"/>
      <c r="B71" s="47"/>
      <c r="C71" s="47"/>
      <c r="D71" s="47"/>
      <c r="E71" s="47"/>
      <c r="F71" s="47"/>
    </row>
    <row r="72">
      <c r="A72" s="47"/>
      <c r="B72" s="47"/>
      <c r="C72" s="47"/>
      <c r="D72" s="47"/>
      <c r="E72" s="47"/>
      <c r="F72" s="47"/>
    </row>
    <row r="73">
      <c r="A73" s="47"/>
      <c r="B73" s="47"/>
      <c r="C73" s="47"/>
      <c r="D73" s="47"/>
      <c r="E73" s="47"/>
      <c r="F73" s="47"/>
    </row>
    <row r="74">
      <c r="A74" s="47"/>
      <c r="B74" s="47"/>
      <c r="C74" s="47"/>
      <c r="D74" s="47"/>
      <c r="E74" s="47"/>
      <c r="F74" s="47"/>
    </row>
    <row r="75">
      <c r="A75" s="47"/>
      <c r="B75" s="47"/>
      <c r="C75" s="47"/>
      <c r="D75" s="47"/>
      <c r="E75" s="47"/>
      <c r="F75" s="47"/>
    </row>
    <row r="76">
      <c r="A76" s="146"/>
      <c r="B76" s="56"/>
      <c r="C76" s="56"/>
      <c r="D76" s="56"/>
      <c r="E76" s="56"/>
      <c r="F76" s="47"/>
    </row>
    <row r="77">
      <c r="A77" s="75"/>
      <c r="B77" s="75"/>
      <c r="C77" s="75"/>
      <c r="D77" s="75"/>
      <c r="E77" s="75"/>
      <c r="F77" s="183"/>
    </row>
    <row r="78">
      <c r="A78" s="76">
        <v>25.0</v>
      </c>
      <c r="B78" s="76">
        <v>26.0</v>
      </c>
      <c r="C78" s="8">
        <v>27.0</v>
      </c>
      <c r="D78" s="76">
        <v>28.0</v>
      </c>
      <c r="E78" s="8">
        <v>29.0</v>
      </c>
      <c r="F78" s="8">
        <v>30.0</v>
      </c>
    </row>
    <row r="79">
      <c r="A79" s="151"/>
      <c r="B79" s="210"/>
      <c r="C79" s="211" t="s">
        <v>350</v>
      </c>
      <c r="D79" s="151"/>
      <c r="E79" s="212" t="s">
        <v>375</v>
      </c>
      <c r="F79" s="151"/>
    </row>
    <row r="80">
      <c r="A80" s="213"/>
      <c r="B80" s="211" t="s">
        <v>31</v>
      </c>
      <c r="C80" s="211" t="s">
        <v>352</v>
      </c>
      <c r="D80" s="214" t="s">
        <v>376</v>
      </c>
      <c r="E80" s="215"/>
      <c r="F80" s="151"/>
    </row>
    <row r="81">
      <c r="A81" s="213"/>
      <c r="B81" s="211" t="s">
        <v>377</v>
      </c>
      <c r="C81" s="216"/>
      <c r="D81" s="214" t="s">
        <v>378</v>
      </c>
      <c r="E81" s="215"/>
      <c r="F81" s="44"/>
    </row>
    <row r="82">
      <c r="A82" s="217"/>
      <c r="B82" s="211" t="s">
        <v>379</v>
      </c>
      <c r="C82" s="216"/>
      <c r="D82" s="218"/>
      <c r="E82" s="219"/>
      <c r="F82" s="44"/>
    </row>
    <row r="83">
      <c r="A83" s="217"/>
      <c r="B83" s="216"/>
      <c r="C83" s="216"/>
      <c r="D83" s="216"/>
      <c r="E83" s="220"/>
      <c r="F83" s="44"/>
    </row>
    <row r="84">
      <c r="A84" s="210"/>
      <c r="B84" s="216"/>
      <c r="C84" s="216"/>
      <c r="D84" s="216"/>
      <c r="E84" s="216"/>
      <c r="F84" s="44"/>
    </row>
    <row r="85">
      <c r="A85" s="210"/>
      <c r="B85" s="47"/>
      <c r="C85" s="47"/>
      <c r="D85" s="47"/>
      <c r="E85" s="47"/>
      <c r="F85" s="44"/>
    </row>
    <row r="86">
      <c r="A86" s="217"/>
      <c r="B86" s="47"/>
      <c r="C86" s="47"/>
      <c r="D86" s="47"/>
      <c r="E86" s="47"/>
      <c r="F86" s="44"/>
    </row>
    <row r="87">
      <c r="A87" s="210"/>
      <c r="B87" s="47"/>
      <c r="C87" s="47"/>
      <c r="D87" s="47"/>
      <c r="E87" s="47"/>
      <c r="F87" s="44"/>
    </row>
    <row r="88">
      <c r="A88" s="221"/>
      <c r="B88" s="47"/>
      <c r="C88" s="47"/>
      <c r="D88" s="47"/>
      <c r="E88" s="47"/>
      <c r="F88" s="44"/>
    </row>
    <row r="89">
      <c r="A89" s="47"/>
      <c r="B89" s="47"/>
      <c r="C89" s="47"/>
      <c r="D89" s="47"/>
      <c r="E89" s="47"/>
      <c r="F89" s="44"/>
    </row>
    <row r="90">
      <c r="A90" s="47"/>
      <c r="B90" s="47"/>
      <c r="C90" s="47"/>
      <c r="D90" s="47"/>
      <c r="E90" s="47"/>
      <c r="F90" s="44"/>
    </row>
    <row r="91">
      <c r="A91" s="47"/>
      <c r="B91" s="47"/>
      <c r="C91" s="47"/>
      <c r="D91" s="47"/>
      <c r="E91" s="47"/>
      <c r="F91" s="44"/>
    </row>
    <row r="92">
      <c r="A92" s="47"/>
      <c r="B92" s="47"/>
      <c r="C92" s="47"/>
      <c r="D92" s="47"/>
      <c r="E92" s="47"/>
      <c r="F92" s="44"/>
    </row>
    <row r="93">
      <c r="A93" s="47"/>
      <c r="B93" s="47"/>
      <c r="C93" s="47"/>
      <c r="D93" s="47"/>
      <c r="E93" s="47"/>
      <c r="F93" s="44"/>
    </row>
    <row r="94">
      <c r="A94" s="47"/>
      <c r="B94" s="47"/>
      <c r="C94" s="47"/>
      <c r="D94" s="47"/>
      <c r="E94" s="47"/>
      <c r="F94" s="44"/>
    </row>
    <row r="95">
      <c r="A95" s="46"/>
      <c r="B95" s="46"/>
      <c r="C95" s="46"/>
      <c r="D95" s="46"/>
      <c r="E95" s="46"/>
      <c r="F95" s="46"/>
    </row>
    <row r="96">
      <c r="A96" s="75"/>
      <c r="B96" s="75"/>
      <c r="C96" s="75"/>
      <c r="D96" s="75"/>
      <c r="E96" s="75"/>
      <c r="F96" s="75"/>
    </row>
  </sheetData>
  <mergeCells count="2">
    <mergeCell ref="A1:F1"/>
    <mergeCell ref="A4:F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27.14"/>
    <col customWidth="1" min="3" max="3" width="26.86"/>
    <col customWidth="1" min="4" max="4" width="27.57"/>
    <col customWidth="1" min="5" max="5" width="27.14"/>
    <col customWidth="1" min="6" max="6" width="21.57"/>
    <col customWidth="1" min="7" max="7" width="9.57"/>
    <col customWidth="1" min="8" max="8" width="3.29"/>
    <col customWidth="1" min="9" max="9" width="7.43"/>
    <col customWidth="1" min="10" max="10" width="3.29"/>
  </cols>
  <sheetData>
    <row r="1">
      <c r="A1" s="1">
        <v>45839.0</v>
      </c>
      <c r="B1" s="2"/>
      <c r="C1" s="2"/>
      <c r="D1" s="2"/>
      <c r="E1" s="2"/>
      <c r="F1" s="3"/>
    </row>
    <row r="2">
      <c r="A2" s="136" t="s">
        <v>380</v>
      </c>
      <c r="B2" s="222" t="s">
        <v>381</v>
      </c>
      <c r="C2" s="222" t="s">
        <v>382</v>
      </c>
      <c r="D2" s="222" t="s">
        <v>383</v>
      </c>
      <c r="E2" s="138" t="s">
        <v>384</v>
      </c>
      <c r="F2" s="139" t="s">
        <v>5</v>
      </c>
    </row>
    <row r="3">
      <c r="A3" s="9"/>
      <c r="B3" s="9">
        <v>1.0</v>
      </c>
      <c r="C3" s="9">
        <v>2.0</v>
      </c>
      <c r="D3" s="9">
        <v>3.0</v>
      </c>
      <c r="E3" s="10">
        <v>4.0</v>
      </c>
      <c r="F3" s="10">
        <v>5.0</v>
      </c>
      <c r="G3" s="11" t="s">
        <v>344</v>
      </c>
      <c r="H3" s="12">
        <f>COUNTIF($A:$F, "*진로취업*")</f>
        <v>21</v>
      </c>
      <c r="I3" s="13" t="s">
        <v>7</v>
      </c>
      <c r="J3" s="12">
        <f>COUNTIF($A:$F, "*강 진*")</f>
        <v>4</v>
      </c>
    </row>
    <row r="4">
      <c r="A4" s="47"/>
      <c r="B4" s="55"/>
      <c r="C4" s="55"/>
      <c r="D4" s="223"/>
      <c r="E4" s="51"/>
      <c r="F4" s="51"/>
      <c r="G4" s="11" t="s">
        <v>13</v>
      </c>
      <c r="H4" s="12">
        <f>COUNTIF($A:$F, "*서류면접*")</f>
        <v>26</v>
      </c>
      <c r="I4" s="20" t="s">
        <v>14</v>
      </c>
      <c r="J4" s="12">
        <f>COUNTIF($A:$F, "*김나영*")</f>
        <v>6</v>
      </c>
    </row>
    <row r="5">
      <c r="A5" s="47"/>
      <c r="B5" s="205" t="s">
        <v>364</v>
      </c>
      <c r="C5" s="198" t="s">
        <v>346</v>
      </c>
      <c r="D5" s="199" t="s">
        <v>347</v>
      </c>
      <c r="E5" s="200" t="s">
        <v>32</v>
      </c>
      <c r="F5" s="51"/>
      <c r="G5" s="11" t="s">
        <v>20</v>
      </c>
      <c r="H5" s="12">
        <f>COUNTIF($A:$F, "*공기업*")</f>
        <v>2</v>
      </c>
      <c r="I5" s="20" t="s">
        <v>21</v>
      </c>
      <c r="J5" s="12">
        <f>COUNTIF($A:$F, "*김미령*")</f>
        <v>0</v>
      </c>
    </row>
    <row r="6">
      <c r="A6" s="47"/>
      <c r="B6" s="201" t="s">
        <v>385</v>
      </c>
      <c r="C6" s="198" t="s">
        <v>348</v>
      </c>
      <c r="D6" s="199" t="s">
        <v>349</v>
      </c>
      <c r="E6" s="200" t="s">
        <v>36</v>
      </c>
      <c r="F6" s="51"/>
      <c r="G6" s="11" t="s">
        <v>22</v>
      </c>
      <c r="H6" s="12">
        <f>COUNTIF($A:$F, "*외국계*")</f>
        <v>4</v>
      </c>
      <c r="I6" s="20" t="s">
        <v>23</v>
      </c>
      <c r="J6" s="12">
        <f>COUNTIF($A:$F, "*김민경*")</f>
        <v>4</v>
      </c>
    </row>
    <row r="7">
      <c r="A7" s="47"/>
      <c r="B7" s="201" t="s">
        <v>386</v>
      </c>
      <c r="C7" s="47"/>
      <c r="D7" s="47"/>
      <c r="E7" s="47"/>
      <c r="F7" s="51"/>
      <c r="G7" s="11" t="s">
        <v>25</v>
      </c>
      <c r="H7" s="12">
        <f>COUNTIF($A:$F, "*이공계*")</f>
        <v>1</v>
      </c>
      <c r="I7" s="20" t="s">
        <v>26</v>
      </c>
      <c r="J7" s="12">
        <f>COUNTIF($A:$F, "*김선화*")</f>
        <v>4</v>
      </c>
    </row>
    <row r="8">
      <c r="A8" s="47"/>
      <c r="B8" s="47"/>
      <c r="C8" s="47"/>
      <c r="D8" s="47"/>
      <c r="E8" s="47"/>
      <c r="F8" s="51"/>
      <c r="G8" s="11" t="s">
        <v>29</v>
      </c>
      <c r="H8" s="12">
        <f>COUNTIF($A:$F, "*콘텐츠*")</f>
        <v>0</v>
      </c>
      <c r="I8" s="20" t="s">
        <v>30</v>
      </c>
      <c r="J8" s="12">
        <f>COUNTIF($A:$F, "*김세희*")</f>
        <v>0</v>
      </c>
    </row>
    <row r="9">
      <c r="A9" s="47"/>
      <c r="B9" s="47"/>
      <c r="C9" s="47"/>
      <c r="E9" s="47"/>
      <c r="F9" s="51"/>
      <c r="G9" s="11" t="s">
        <v>33</v>
      </c>
      <c r="H9" s="12">
        <f>COUNTIF($A:$F, "*금융*")</f>
        <v>0</v>
      </c>
      <c r="I9" s="20" t="s">
        <v>34</v>
      </c>
      <c r="J9" s="12">
        <f>COUNTIF($A:$F, "*김지현*")</f>
        <v>6</v>
      </c>
    </row>
    <row r="10">
      <c r="A10" s="47"/>
      <c r="B10" s="47"/>
      <c r="C10" s="47"/>
      <c r="D10" s="47"/>
      <c r="E10" s="47"/>
      <c r="F10" s="51"/>
      <c r="G10" s="34" t="s">
        <v>37</v>
      </c>
      <c r="H10" s="12">
        <f>COUNTIF($A:$F, "*IT*")</f>
        <v>0</v>
      </c>
      <c r="I10" s="20" t="s">
        <v>38</v>
      </c>
      <c r="J10" s="12">
        <f>COUNTIF($A:$F, "*범하나*")</f>
        <v>4</v>
      </c>
    </row>
    <row r="11">
      <c r="A11" s="47"/>
      <c r="B11" s="47"/>
      <c r="C11" s="47"/>
      <c r="D11" s="47"/>
      <c r="E11" s="47"/>
      <c r="F11" s="51"/>
      <c r="G11" s="11" t="s">
        <v>40</v>
      </c>
      <c r="H11" s="12">
        <f>COUNTIF($A:$F, "*임원면접*")</f>
        <v>0</v>
      </c>
      <c r="I11" s="20" t="s">
        <v>41</v>
      </c>
      <c r="J11" s="12">
        <f>COUNTIF($A:$F, "*성지우*")</f>
        <v>0</v>
      </c>
    </row>
    <row r="12">
      <c r="A12" s="47"/>
      <c r="B12" s="47"/>
      <c r="C12" s="47"/>
      <c r="D12" s="47"/>
      <c r="E12" s="47"/>
      <c r="F12" s="51"/>
      <c r="G12" s="37" t="s">
        <v>44</v>
      </c>
      <c r="H12" s="38">
        <f>sum(H3:H11)</f>
        <v>54</v>
      </c>
      <c r="I12" s="20" t="s">
        <v>45</v>
      </c>
      <c r="J12" s="12">
        <f>COUNTIF($A:$F, "*신민이*")</f>
        <v>2</v>
      </c>
    </row>
    <row r="13">
      <c r="A13" s="47"/>
      <c r="B13" s="47"/>
      <c r="C13" s="47"/>
      <c r="D13" s="47"/>
      <c r="E13" s="47"/>
      <c r="F13" s="51"/>
      <c r="I13" s="20" t="s">
        <v>49</v>
      </c>
      <c r="J13" s="12">
        <f>COUNTIF($A:$F, "*심영섭*")</f>
        <v>6</v>
      </c>
    </row>
    <row r="14">
      <c r="A14" s="47"/>
      <c r="B14" s="47"/>
      <c r="C14" s="47"/>
      <c r="D14" s="47"/>
      <c r="E14" s="47"/>
      <c r="F14" s="51"/>
      <c r="I14" s="20" t="s">
        <v>52</v>
      </c>
      <c r="J14" s="12">
        <f>COUNTIF($A:$F, "*양우석*")</f>
        <v>0</v>
      </c>
    </row>
    <row r="15">
      <c r="A15" s="47"/>
      <c r="B15" s="47"/>
      <c r="C15" s="47"/>
      <c r="D15" s="47"/>
      <c r="E15" s="47"/>
      <c r="F15" s="51"/>
      <c r="I15" s="20" t="s">
        <v>53</v>
      </c>
      <c r="J15" s="12">
        <f>COUNTIF($A:$F, "*이상환*")</f>
        <v>0</v>
      </c>
    </row>
    <row r="16">
      <c r="A16" s="47"/>
      <c r="B16" s="47"/>
      <c r="C16" s="47"/>
      <c r="D16" s="47"/>
      <c r="E16" s="47"/>
      <c r="F16" s="51"/>
      <c r="I16" s="20" t="s">
        <v>55</v>
      </c>
      <c r="J16" s="12">
        <f>COUNTIF($A:$F, "*이주환*")</f>
        <v>0</v>
      </c>
    </row>
    <row r="17">
      <c r="A17" s="47"/>
      <c r="B17" s="47"/>
      <c r="C17" s="47"/>
      <c r="D17" s="47"/>
      <c r="E17" s="47"/>
      <c r="F17" s="51"/>
      <c r="I17" s="20" t="s">
        <v>57</v>
      </c>
      <c r="J17" s="12">
        <f>COUNTIF($A:$F, "*이하영*")</f>
        <v>0</v>
      </c>
    </row>
    <row r="18">
      <c r="A18" s="47"/>
      <c r="B18" s="47"/>
      <c r="C18" s="47"/>
      <c r="D18" s="47"/>
      <c r="E18" s="47"/>
      <c r="F18" s="51"/>
      <c r="I18" s="20" t="s">
        <v>58</v>
      </c>
      <c r="J18" s="12">
        <f>COUNTIF($A:$F, "*이효숙*")</f>
        <v>0</v>
      </c>
    </row>
    <row r="19">
      <c r="A19" s="47"/>
      <c r="B19" s="47"/>
      <c r="C19" s="47"/>
      <c r="D19" s="202" t="s">
        <v>359</v>
      </c>
      <c r="E19" s="47"/>
      <c r="F19" s="51"/>
      <c r="I19" s="20" t="s">
        <v>59</v>
      </c>
      <c r="J19" s="12">
        <f>COUNTIF($A:$F, "*이희영*")</f>
        <v>4</v>
      </c>
    </row>
    <row r="20">
      <c r="A20" s="47"/>
      <c r="B20" s="47"/>
      <c r="C20" s="51"/>
      <c r="D20" s="202" t="s">
        <v>360</v>
      </c>
      <c r="E20" s="51"/>
      <c r="F20" s="51"/>
      <c r="I20" s="20" t="s">
        <v>60</v>
      </c>
      <c r="J20" s="12">
        <f>COUNTIF($A:$F, "*장신혜*")</f>
        <v>4</v>
      </c>
    </row>
    <row r="21">
      <c r="A21" s="47"/>
      <c r="B21" s="190"/>
      <c r="C21" s="46"/>
      <c r="D21" s="47"/>
      <c r="E21" s="46"/>
      <c r="F21" s="51"/>
      <c r="I21" s="20" t="s">
        <v>61</v>
      </c>
      <c r="J21" s="12">
        <f>COUNTIF($A:$F, "*정지선*")</f>
        <v>2</v>
      </c>
    </row>
    <row r="22">
      <c r="A22" s="47"/>
      <c r="B22" s="48"/>
      <c r="C22" s="48"/>
      <c r="D22" s="48"/>
      <c r="E22" s="51"/>
      <c r="F22" s="51"/>
      <c r="I22" s="20" t="s">
        <v>62</v>
      </c>
      <c r="J22" s="12">
        <f>COUNTIF($A:$F, "*지명선*")</f>
        <v>4</v>
      </c>
    </row>
    <row r="23">
      <c r="A23" s="46"/>
      <c r="B23" s="46"/>
      <c r="C23" s="46"/>
      <c r="D23" s="46"/>
      <c r="E23" s="46"/>
      <c r="F23" s="46"/>
      <c r="I23" s="20" t="s">
        <v>63</v>
      </c>
      <c r="J23" s="12">
        <f>COUNTIF($A:$F, "*최은주*")</f>
        <v>0</v>
      </c>
    </row>
    <row r="24">
      <c r="A24" s="9">
        <v>7.0</v>
      </c>
      <c r="B24" s="9">
        <v>8.0</v>
      </c>
      <c r="C24" s="10">
        <v>9.0</v>
      </c>
      <c r="D24" s="10">
        <v>10.0</v>
      </c>
      <c r="E24" s="10">
        <v>11.0</v>
      </c>
      <c r="F24" s="10">
        <v>12.0</v>
      </c>
      <c r="I24" s="20" t="s">
        <v>65</v>
      </c>
      <c r="J24" s="12">
        <f>COUNTIF($A:$F, "*한 나*")</f>
        <v>4</v>
      </c>
    </row>
    <row r="25">
      <c r="A25" s="196"/>
      <c r="B25" s="196"/>
      <c r="C25" s="196"/>
      <c r="D25" s="196"/>
      <c r="E25" s="195"/>
      <c r="F25" s="195"/>
      <c r="I25" s="20" t="s">
        <v>66</v>
      </c>
      <c r="J25" s="12">
        <f>COUNTIF($A:$F, "*민현정*")</f>
        <v>0</v>
      </c>
    </row>
    <row r="26">
      <c r="A26" s="47"/>
      <c r="B26" s="47"/>
      <c r="C26" s="47"/>
      <c r="D26" s="47"/>
      <c r="E26" s="47"/>
      <c r="F26" s="195"/>
      <c r="I26" s="54" t="s">
        <v>44</v>
      </c>
      <c r="J26" s="38">
        <f>sum(J3:J25)</f>
        <v>54</v>
      </c>
    </row>
    <row r="27">
      <c r="A27" s="47"/>
      <c r="B27" s="47"/>
      <c r="C27" s="47"/>
      <c r="D27" s="47"/>
      <c r="E27" s="47"/>
      <c r="F27" s="195"/>
    </row>
    <row r="28">
      <c r="A28" s="47"/>
      <c r="B28" s="47"/>
      <c r="C28" s="47"/>
      <c r="D28" s="47"/>
      <c r="E28" s="47"/>
      <c r="F28" s="195"/>
    </row>
    <row r="29">
      <c r="A29" s="47"/>
      <c r="B29" s="47"/>
      <c r="C29" s="47"/>
      <c r="D29" s="47"/>
      <c r="E29" s="47"/>
      <c r="F29" s="195"/>
    </row>
    <row r="30">
      <c r="A30" s="47"/>
      <c r="B30" s="47"/>
      <c r="C30" s="201" t="s">
        <v>350</v>
      </c>
      <c r="E30" s="47"/>
      <c r="F30" s="195"/>
    </row>
    <row r="31">
      <c r="A31" s="47"/>
      <c r="B31" s="47"/>
      <c r="C31" s="201" t="s">
        <v>352</v>
      </c>
      <c r="D31" s="47"/>
      <c r="E31" s="201" t="s">
        <v>353</v>
      </c>
      <c r="F31" s="195"/>
    </row>
    <row r="32">
      <c r="A32" s="47"/>
      <c r="B32" s="198" t="s">
        <v>387</v>
      </c>
      <c r="C32" s="47"/>
      <c r="D32" s="47"/>
      <c r="E32" s="201" t="s">
        <v>12</v>
      </c>
      <c r="F32" s="195"/>
    </row>
    <row r="33">
      <c r="A33" s="47"/>
      <c r="B33" s="198" t="s">
        <v>388</v>
      </c>
      <c r="C33" s="47"/>
      <c r="D33" s="47"/>
      <c r="E33" s="47"/>
      <c r="F33" s="195"/>
    </row>
    <row r="34">
      <c r="A34" s="47"/>
      <c r="B34" s="47"/>
      <c r="C34" s="51"/>
      <c r="D34" s="47"/>
      <c r="E34" s="47"/>
      <c r="F34" s="195"/>
    </row>
    <row r="35">
      <c r="A35" s="47"/>
      <c r="B35" s="47"/>
      <c r="C35" s="51"/>
      <c r="D35" s="198" t="s">
        <v>389</v>
      </c>
      <c r="E35" s="47"/>
      <c r="F35" s="195"/>
    </row>
    <row r="36">
      <c r="A36" s="200" t="s">
        <v>356</v>
      </c>
      <c r="B36" s="47"/>
      <c r="C36" s="47"/>
      <c r="D36" s="198" t="s">
        <v>390</v>
      </c>
      <c r="E36" s="47"/>
      <c r="F36" s="195"/>
    </row>
    <row r="37">
      <c r="A37" s="200" t="s">
        <v>358</v>
      </c>
      <c r="B37" s="47"/>
      <c r="C37" s="47"/>
      <c r="D37" s="198" t="s">
        <v>391</v>
      </c>
      <c r="E37" s="47"/>
      <c r="F37" s="195"/>
    </row>
    <row r="38">
      <c r="A38" s="47"/>
      <c r="B38" s="47"/>
      <c r="C38" s="47"/>
      <c r="D38" s="47"/>
      <c r="E38" s="47"/>
      <c r="F38" s="195"/>
    </row>
    <row r="39">
      <c r="A39" s="47"/>
      <c r="B39" s="47"/>
      <c r="C39" s="47"/>
      <c r="D39" s="47"/>
      <c r="E39" s="47"/>
      <c r="F39" s="195"/>
    </row>
    <row r="40">
      <c r="A40" s="46"/>
      <c r="B40" s="47"/>
      <c r="C40" s="47"/>
      <c r="D40" s="47"/>
      <c r="E40" s="47"/>
      <c r="F40" s="195"/>
    </row>
    <row r="41">
      <c r="A41" s="46"/>
      <c r="B41" s="47"/>
      <c r="C41" s="51"/>
      <c r="D41" s="51"/>
      <c r="E41" s="51"/>
      <c r="F41" s="195"/>
    </row>
    <row r="42">
      <c r="A42" s="44"/>
      <c r="B42" s="201" t="s">
        <v>361</v>
      </c>
      <c r="C42" s="46"/>
      <c r="D42" s="46"/>
      <c r="E42" s="46"/>
      <c r="F42" s="195"/>
    </row>
    <row r="43">
      <c r="A43" s="44"/>
      <c r="B43" s="201" t="s">
        <v>362</v>
      </c>
      <c r="C43" s="46"/>
      <c r="D43" s="46"/>
      <c r="E43" s="46"/>
      <c r="F43" s="195"/>
    </row>
    <row r="44">
      <c r="A44" s="47"/>
      <c r="B44" s="46"/>
      <c r="C44" s="46"/>
      <c r="D44" s="46"/>
      <c r="E44" s="46"/>
      <c r="F44" s="195"/>
    </row>
    <row r="45">
      <c r="A45" s="224"/>
      <c r="B45" s="207"/>
      <c r="C45" s="207"/>
      <c r="D45" s="207"/>
      <c r="E45" s="207"/>
      <c r="F45" s="195"/>
    </row>
    <row r="46">
      <c r="A46" s="203"/>
      <c r="B46" s="203"/>
      <c r="C46" s="203"/>
      <c r="D46" s="204"/>
      <c r="E46" s="75"/>
      <c r="F46" s="75"/>
    </row>
    <row r="47">
      <c r="A47" s="76">
        <v>14.0</v>
      </c>
      <c r="B47" s="76">
        <v>15.0</v>
      </c>
      <c r="C47" s="76">
        <v>16.0</v>
      </c>
      <c r="D47" s="10">
        <v>17.0</v>
      </c>
      <c r="E47" s="10">
        <v>18.0</v>
      </c>
      <c r="F47" s="10">
        <v>19.0</v>
      </c>
    </row>
    <row r="48">
      <c r="A48" s="197" t="s">
        <v>8</v>
      </c>
      <c r="B48" s="195"/>
      <c r="C48" s="195"/>
      <c r="D48" s="195"/>
      <c r="E48" s="195"/>
      <c r="F48" s="195"/>
    </row>
    <row r="49">
      <c r="A49" s="198" t="s">
        <v>392</v>
      </c>
      <c r="B49" s="205" t="s">
        <v>364</v>
      </c>
      <c r="C49" s="198" t="s">
        <v>346</v>
      </c>
      <c r="D49" s="199" t="s">
        <v>347</v>
      </c>
      <c r="E49" s="200" t="s">
        <v>32</v>
      </c>
      <c r="F49" s="195"/>
    </row>
    <row r="50">
      <c r="A50" s="47"/>
      <c r="B50" s="201" t="s">
        <v>393</v>
      </c>
      <c r="C50" s="198" t="s">
        <v>348</v>
      </c>
      <c r="D50" s="199" t="s">
        <v>349</v>
      </c>
      <c r="E50" s="200" t="s">
        <v>36</v>
      </c>
      <c r="F50" s="195"/>
    </row>
    <row r="51">
      <c r="A51" s="47"/>
      <c r="B51" s="201" t="s">
        <v>394</v>
      </c>
      <c r="C51" s="47"/>
      <c r="D51" s="47"/>
      <c r="E51" s="47"/>
      <c r="F51" s="195"/>
    </row>
    <row r="52">
      <c r="A52" s="47"/>
      <c r="B52" s="47"/>
      <c r="C52" s="47"/>
      <c r="D52" s="47"/>
      <c r="E52" s="47"/>
      <c r="F52" s="195"/>
    </row>
    <row r="53">
      <c r="A53" s="198" t="s">
        <v>395</v>
      </c>
      <c r="B53" s="47"/>
      <c r="C53" s="47"/>
      <c r="E53" s="47"/>
      <c r="F53" s="195"/>
    </row>
    <row r="54">
      <c r="A54" s="198" t="s">
        <v>396</v>
      </c>
      <c r="B54" s="47"/>
      <c r="C54" s="47"/>
      <c r="D54" s="47"/>
      <c r="E54" s="47"/>
      <c r="F54" s="195"/>
    </row>
    <row r="55">
      <c r="A55" s="47"/>
      <c r="B55" s="47"/>
      <c r="C55" s="47"/>
      <c r="D55" s="47"/>
      <c r="E55" s="47"/>
      <c r="F55" s="195"/>
    </row>
    <row r="56">
      <c r="A56" s="47"/>
      <c r="B56" s="47"/>
      <c r="C56" s="47"/>
      <c r="D56" s="47"/>
      <c r="E56" s="47"/>
      <c r="F56" s="195"/>
    </row>
    <row r="57">
      <c r="A57" s="201" t="s">
        <v>361</v>
      </c>
      <c r="B57" s="47"/>
      <c r="C57" s="47"/>
      <c r="E57" s="47"/>
      <c r="F57" s="195"/>
    </row>
    <row r="58">
      <c r="A58" s="201" t="s">
        <v>362</v>
      </c>
      <c r="B58" s="47"/>
      <c r="C58" s="47"/>
      <c r="E58" s="47"/>
      <c r="F58" s="195"/>
    </row>
    <row r="59">
      <c r="A59" s="47"/>
      <c r="B59" s="47"/>
      <c r="C59" s="47"/>
      <c r="E59" s="47"/>
      <c r="F59" s="195"/>
    </row>
    <row r="60">
      <c r="A60" s="47"/>
      <c r="B60" s="47"/>
      <c r="C60" s="47"/>
      <c r="E60" s="47"/>
      <c r="F60" s="195"/>
    </row>
    <row r="61">
      <c r="A61" s="47"/>
      <c r="B61" s="47"/>
      <c r="C61" s="47"/>
      <c r="D61" s="47"/>
      <c r="E61" s="47"/>
      <c r="F61" s="195"/>
    </row>
    <row r="62">
      <c r="A62" s="47"/>
      <c r="B62" s="47"/>
      <c r="C62" s="47"/>
      <c r="D62" s="47"/>
      <c r="E62" s="47"/>
      <c r="F62" s="195"/>
    </row>
    <row r="63">
      <c r="A63" s="47"/>
      <c r="B63" s="47"/>
      <c r="C63" s="47"/>
      <c r="D63" s="202" t="s">
        <v>359</v>
      </c>
      <c r="E63" s="47"/>
      <c r="F63" s="195"/>
    </row>
    <row r="64">
      <c r="A64" s="47"/>
      <c r="B64" s="47"/>
      <c r="C64" s="51"/>
      <c r="D64" s="202" t="s">
        <v>360</v>
      </c>
      <c r="E64" s="51"/>
      <c r="F64" s="195"/>
    </row>
    <row r="65">
      <c r="A65" s="47"/>
      <c r="B65" s="190"/>
      <c r="C65" s="46"/>
      <c r="D65" s="47"/>
      <c r="E65" s="46"/>
      <c r="F65" s="195"/>
    </row>
    <row r="66">
      <c r="A66" s="47"/>
      <c r="B66" s="46"/>
      <c r="C66" s="46"/>
      <c r="D66" s="46"/>
      <c r="E66" s="46"/>
      <c r="F66" s="195"/>
    </row>
    <row r="67">
      <c r="A67" s="47"/>
      <c r="B67" s="46"/>
      <c r="C67" s="46"/>
      <c r="D67" s="46"/>
      <c r="E67" s="46"/>
      <c r="F67" s="195"/>
    </row>
    <row r="68">
      <c r="A68" s="47"/>
      <c r="B68" s="47"/>
      <c r="C68" s="51"/>
      <c r="D68" s="51"/>
      <c r="E68" s="51"/>
      <c r="F68" s="195"/>
    </row>
    <row r="69">
      <c r="A69" s="190"/>
      <c r="B69" s="190"/>
      <c r="C69" s="183"/>
      <c r="D69" s="183"/>
      <c r="E69" s="75"/>
      <c r="F69" s="75"/>
    </row>
    <row r="70">
      <c r="A70" s="10">
        <v>21.0</v>
      </c>
      <c r="B70" s="10">
        <v>22.0</v>
      </c>
      <c r="C70" s="10">
        <v>23.0</v>
      </c>
      <c r="D70" s="76">
        <v>24.0</v>
      </c>
      <c r="E70" s="76">
        <v>25.0</v>
      </c>
      <c r="F70" s="76">
        <v>26.0</v>
      </c>
    </row>
    <row r="71">
      <c r="A71" s="195"/>
      <c r="B71" s="195"/>
      <c r="C71" s="47"/>
      <c r="D71" s="195"/>
      <c r="E71" s="195"/>
      <c r="F71" s="195"/>
    </row>
    <row r="72">
      <c r="A72" s="47"/>
      <c r="B72" s="47"/>
      <c r="C72" s="47"/>
      <c r="D72" s="47"/>
      <c r="E72" s="195"/>
      <c r="F72" s="195"/>
    </row>
    <row r="73">
      <c r="A73" s="47"/>
      <c r="B73" s="47"/>
      <c r="C73" s="47"/>
      <c r="D73" s="47"/>
      <c r="E73" s="195"/>
      <c r="F73" s="195"/>
    </row>
    <row r="74">
      <c r="A74" s="47"/>
      <c r="B74" s="47"/>
      <c r="C74" s="47"/>
      <c r="D74" s="47"/>
      <c r="E74" s="47"/>
      <c r="F74" s="195"/>
    </row>
    <row r="75">
      <c r="A75" s="47"/>
      <c r="B75" s="47"/>
      <c r="C75" s="47"/>
      <c r="D75" s="47"/>
      <c r="E75" s="47"/>
      <c r="F75" s="195"/>
    </row>
    <row r="76">
      <c r="A76" s="47"/>
      <c r="B76" s="47"/>
      <c r="C76" s="201" t="s">
        <v>350</v>
      </c>
      <c r="E76" s="47"/>
      <c r="F76" s="195"/>
    </row>
    <row r="77">
      <c r="A77" s="47"/>
      <c r="B77" s="47"/>
      <c r="C77" s="201" t="s">
        <v>352</v>
      </c>
      <c r="D77" s="47"/>
      <c r="E77" s="201" t="s">
        <v>353</v>
      </c>
      <c r="F77" s="195"/>
    </row>
    <row r="78">
      <c r="A78" s="47"/>
      <c r="B78" s="198" t="s">
        <v>397</v>
      </c>
      <c r="C78" s="47"/>
      <c r="D78" s="47"/>
      <c r="E78" s="201" t="s">
        <v>12</v>
      </c>
      <c r="F78" s="195"/>
    </row>
    <row r="79">
      <c r="A79" s="47"/>
      <c r="B79" s="198" t="s">
        <v>388</v>
      </c>
      <c r="C79" s="47"/>
      <c r="D79" s="47"/>
      <c r="E79" s="47"/>
      <c r="F79" s="195"/>
    </row>
    <row r="80">
      <c r="A80" s="47"/>
      <c r="B80" s="47"/>
      <c r="C80" s="51"/>
      <c r="D80" s="47"/>
      <c r="E80" s="47"/>
      <c r="F80" s="195"/>
    </row>
    <row r="81">
      <c r="A81" s="47"/>
      <c r="B81" s="47"/>
      <c r="C81" s="51"/>
      <c r="D81" s="198" t="s">
        <v>398</v>
      </c>
      <c r="E81" s="47"/>
      <c r="F81" s="195"/>
    </row>
    <row r="82">
      <c r="A82" s="200" t="s">
        <v>356</v>
      </c>
      <c r="B82" s="47"/>
      <c r="C82" s="47"/>
      <c r="D82" s="198" t="s">
        <v>399</v>
      </c>
      <c r="E82" s="47"/>
      <c r="F82" s="195"/>
    </row>
    <row r="83">
      <c r="A83" s="200" t="s">
        <v>358</v>
      </c>
      <c r="B83" s="47"/>
      <c r="C83" s="47"/>
      <c r="D83" s="198" t="s">
        <v>400</v>
      </c>
      <c r="E83" s="47"/>
      <c r="F83" s="195"/>
    </row>
    <row r="84">
      <c r="A84" s="47"/>
      <c r="B84" s="47"/>
      <c r="C84" s="47"/>
      <c r="D84" s="47"/>
      <c r="E84" s="47"/>
      <c r="F84" s="195"/>
    </row>
    <row r="85">
      <c r="A85" s="47"/>
      <c r="B85" s="47"/>
      <c r="C85" s="47"/>
      <c r="D85" s="47"/>
      <c r="E85" s="47"/>
      <c r="F85" s="195"/>
    </row>
    <row r="86">
      <c r="A86" s="46"/>
      <c r="B86" s="47"/>
      <c r="C86" s="47"/>
      <c r="D86" s="47"/>
      <c r="E86" s="47"/>
      <c r="F86" s="195"/>
    </row>
    <row r="87">
      <c r="A87" s="46"/>
      <c r="B87" s="47"/>
      <c r="C87" s="51"/>
      <c r="D87" s="51"/>
      <c r="E87" s="51"/>
      <c r="F87" s="195"/>
    </row>
    <row r="88">
      <c r="A88" s="201" t="s">
        <v>361</v>
      </c>
      <c r="B88" s="190"/>
      <c r="C88" s="46"/>
      <c r="D88" s="46"/>
      <c r="E88" s="46"/>
      <c r="F88" s="195"/>
    </row>
    <row r="89">
      <c r="A89" s="201" t="s">
        <v>362</v>
      </c>
      <c r="B89" s="46"/>
      <c r="C89" s="46"/>
      <c r="D89" s="46"/>
      <c r="E89" s="46"/>
      <c r="F89" s="195"/>
    </row>
    <row r="90">
      <c r="A90" s="47"/>
      <c r="B90" s="46"/>
      <c r="C90" s="46"/>
      <c r="D90" s="46"/>
      <c r="E90" s="46"/>
      <c r="F90" s="46"/>
    </row>
    <row r="91">
      <c r="A91" s="46"/>
      <c r="B91" s="46"/>
      <c r="C91" s="46"/>
      <c r="D91" s="46"/>
      <c r="E91" s="46"/>
      <c r="F91" s="46"/>
    </row>
    <row r="92">
      <c r="A92" s="75"/>
      <c r="B92" s="75"/>
      <c r="C92" s="75"/>
      <c r="D92" s="75"/>
      <c r="E92" s="75"/>
      <c r="F92" s="75"/>
    </row>
    <row r="93">
      <c r="A93" s="76">
        <v>28.0</v>
      </c>
      <c r="B93" s="76">
        <v>29.0</v>
      </c>
      <c r="C93" s="76">
        <v>30.0</v>
      </c>
      <c r="D93" s="76">
        <v>31.0</v>
      </c>
      <c r="E93" s="225"/>
      <c r="F93" s="225"/>
    </row>
    <row r="94">
      <c r="A94" s="49" t="s">
        <v>345</v>
      </c>
      <c r="B94" s="50"/>
      <c r="C94" s="50"/>
      <c r="D94" s="50"/>
      <c r="E94" s="50"/>
      <c r="F94" s="50"/>
    </row>
    <row r="95">
      <c r="A95" s="62"/>
      <c r="B95" s="62"/>
      <c r="C95" s="62"/>
      <c r="D95" s="62"/>
      <c r="E95" s="62"/>
      <c r="F95" s="195"/>
    </row>
    <row r="96">
      <c r="A96" s="226"/>
      <c r="B96" s="226"/>
      <c r="C96" s="226"/>
      <c r="D96" s="226"/>
      <c r="E96" s="226"/>
      <c r="F96" s="227"/>
    </row>
  </sheetData>
  <mergeCells count="2">
    <mergeCell ref="A1:F1"/>
    <mergeCell ref="A94:F9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27.14"/>
    <col customWidth="1" min="3" max="3" width="26.86"/>
    <col customWidth="1" min="4" max="4" width="28.71"/>
    <col customWidth="1" min="5" max="5" width="26.43"/>
    <col customWidth="1" min="6" max="6" width="21.57"/>
    <col customWidth="1" min="7" max="7" width="9.57"/>
    <col customWidth="1" min="8" max="8" width="3.29"/>
    <col customWidth="1" min="9" max="9" width="7.43"/>
    <col customWidth="1" min="10" max="10" width="3.29"/>
  </cols>
  <sheetData>
    <row r="1">
      <c r="A1" s="1">
        <v>45809.0</v>
      </c>
      <c r="B1" s="2"/>
      <c r="C1" s="2"/>
      <c r="D1" s="2"/>
      <c r="E1" s="2"/>
      <c r="F1" s="3"/>
    </row>
    <row r="2">
      <c r="A2" s="4" t="s">
        <v>401</v>
      </c>
      <c r="B2" s="5" t="s">
        <v>402</v>
      </c>
      <c r="C2" s="5" t="s">
        <v>403</v>
      </c>
      <c r="D2" s="5" t="s">
        <v>404</v>
      </c>
      <c r="E2" s="6" t="s">
        <v>405</v>
      </c>
      <c r="F2" s="7" t="s">
        <v>5</v>
      </c>
    </row>
    <row r="3">
      <c r="A3" s="76">
        <v>2.0</v>
      </c>
      <c r="B3" s="9">
        <v>3.0</v>
      </c>
      <c r="C3" s="9">
        <v>4.0</v>
      </c>
      <c r="D3" s="9">
        <v>5.0</v>
      </c>
      <c r="E3" s="63">
        <v>6.0</v>
      </c>
      <c r="F3" s="10">
        <v>7.0</v>
      </c>
      <c r="G3" s="11" t="s">
        <v>344</v>
      </c>
      <c r="H3" s="12">
        <f>COUNTIF($A:$F, "*진로취업*")</f>
        <v>18</v>
      </c>
      <c r="I3" s="13" t="s">
        <v>7</v>
      </c>
      <c r="J3" s="12">
        <f>COUNTIF($A:$F, "*강 진*")</f>
        <v>6</v>
      </c>
    </row>
    <row r="4">
      <c r="A4" s="48"/>
      <c r="B4" s="48"/>
      <c r="C4" s="48"/>
      <c r="D4" s="55"/>
      <c r="E4" s="64" t="s">
        <v>406</v>
      </c>
      <c r="F4" s="51"/>
      <c r="G4" s="11" t="s">
        <v>13</v>
      </c>
      <c r="H4" s="12">
        <f>COUNTIF($A:$F, "*서류면접*")</f>
        <v>34</v>
      </c>
      <c r="I4" s="20" t="s">
        <v>14</v>
      </c>
      <c r="J4" s="12">
        <f>COUNTIF($A:$F, "*김나영*")</f>
        <v>6</v>
      </c>
    </row>
    <row r="5">
      <c r="A5" s="49" t="s">
        <v>64</v>
      </c>
      <c r="B5" s="50"/>
      <c r="C5" s="50"/>
      <c r="D5" s="50"/>
      <c r="E5" s="50"/>
      <c r="F5" s="50"/>
      <c r="G5" s="11" t="s">
        <v>20</v>
      </c>
      <c r="H5" s="12">
        <f>COUNTIF($A:$F, "*공기업*")</f>
        <v>1</v>
      </c>
      <c r="I5" s="20" t="s">
        <v>21</v>
      </c>
      <c r="J5" s="12">
        <f>COUNTIF($A:$F, "*김미령*")</f>
        <v>0</v>
      </c>
    </row>
    <row r="6">
      <c r="A6" s="47"/>
      <c r="B6" s="48"/>
      <c r="C6" s="55"/>
      <c r="D6" s="55"/>
      <c r="E6" s="55"/>
      <c r="F6" s="51"/>
      <c r="G6" s="11" t="s">
        <v>22</v>
      </c>
      <c r="H6" s="12">
        <f>COUNTIF($A:$F, "*외국계*")</f>
        <v>4</v>
      </c>
      <c r="I6" s="20" t="s">
        <v>23</v>
      </c>
      <c r="J6" s="12">
        <f>COUNTIF($A:$F, "*김민경*")</f>
        <v>4</v>
      </c>
    </row>
    <row r="7">
      <c r="A7" s="47"/>
      <c r="B7" s="47"/>
      <c r="C7" s="47"/>
      <c r="D7" s="47"/>
      <c r="E7" s="47"/>
      <c r="F7" s="51"/>
      <c r="G7" s="11" t="s">
        <v>25</v>
      </c>
      <c r="H7" s="12">
        <f>COUNTIF($A:$F, "*이공계*")</f>
        <v>5</v>
      </c>
      <c r="I7" s="20" t="s">
        <v>26</v>
      </c>
      <c r="J7" s="12">
        <f>COUNTIF($A:$F, "*김선화*")</f>
        <v>4</v>
      </c>
    </row>
    <row r="8">
      <c r="A8" s="47"/>
      <c r="B8" s="47"/>
      <c r="C8" s="47"/>
      <c r="D8" s="47"/>
      <c r="E8" s="47"/>
      <c r="F8" s="51"/>
      <c r="G8" s="11" t="s">
        <v>29</v>
      </c>
      <c r="H8" s="12">
        <f>COUNTIF($A:$F, "*콘텐츠*")</f>
        <v>0</v>
      </c>
      <c r="I8" s="20" t="s">
        <v>30</v>
      </c>
      <c r="J8" s="12">
        <f>COUNTIF($A:$F, "*김세희*")</f>
        <v>0</v>
      </c>
    </row>
    <row r="9">
      <c r="A9" s="47"/>
      <c r="B9" s="47"/>
      <c r="C9" s="47"/>
      <c r="D9" s="47"/>
      <c r="E9" s="47"/>
      <c r="F9" s="51"/>
      <c r="G9" s="11" t="s">
        <v>33</v>
      </c>
      <c r="H9" s="12">
        <f>COUNTIF($A:$F, "*금융*")</f>
        <v>0</v>
      </c>
      <c r="I9" s="20" t="s">
        <v>34</v>
      </c>
      <c r="J9" s="12">
        <f>COUNTIF($A:$F, "*김지현*")</f>
        <v>4</v>
      </c>
    </row>
    <row r="10">
      <c r="A10" s="47"/>
      <c r="B10" s="47"/>
      <c r="C10" s="47"/>
      <c r="D10" s="47"/>
      <c r="E10" s="47"/>
      <c r="F10" s="51"/>
      <c r="G10" s="34" t="s">
        <v>37</v>
      </c>
      <c r="H10" s="12">
        <f>COUNTIF($A:$F, "*IT*")</f>
        <v>0</v>
      </c>
      <c r="I10" s="20" t="s">
        <v>38</v>
      </c>
      <c r="J10" s="12">
        <f>COUNTIF($A:$F, "*범하나*")</f>
        <v>4</v>
      </c>
    </row>
    <row r="11">
      <c r="A11" s="47"/>
      <c r="B11" s="47"/>
      <c r="C11" s="47"/>
      <c r="D11" s="47"/>
      <c r="E11" s="47"/>
      <c r="F11" s="51"/>
      <c r="G11" s="11" t="s">
        <v>40</v>
      </c>
      <c r="H11" s="12">
        <f>COUNTIF($A:$F, "*임원면접*")</f>
        <v>0</v>
      </c>
      <c r="I11" s="20" t="s">
        <v>41</v>
      </c>
      <c r="J11" s="12">
        <f>COUNTIF($A:$F, "*성지우*")</f>
        <v>2</v>
      </c>
    </row>
    <row r="12">
      <c r="A12" s="47"/>
      <c r="B12" s="47"/>
      <c r="C12" s="47"/>
      <c r="D12" s="47"/>
      <c r="E12" s="47"/>
      <c r="F12" s="51"/>
      <c r="G12" s="37" t="s">
        <v>44</v>
      </c>
      <c r="H12" s="38">
        <f>sum(H3:H11)</f>
        <v>62</v>
      </c>
      <c r="I12" s="20" t="s">
        <v>45</v>
      </c>
      <c r="J12" s="12">
        <f>COUNTIF($A:$F, "*신민이*")</f>
        <v>6</v>
      </c>
    </row>
    <row r="13">
      <c r="A13" s="47"/>
      <c r="B13" s="47"/>
      <c r="C13" s="47"/>
      <c r="D13" s="47"/>
      <c r="E13" s="47"/>
      <c r="F13" s="51"/>
      <c r="I13" s="20" t="s">
        <v>49</v>
      </c>
      <c r="J13" s="12">
        <f>COUNTIF($A:$F, "*심영섭*")</f>
        <v>6</v>
      </c>
    </row>
    <row r="14">
      <c r="A14" s="47"/>
      <c r="B14" s="47"/>
      <c r="C14" s="47"/>
      <c r="D14" s="47"/>
      <c r="E14" s="47"/>
      <c r="F14" s="51"/>
      <c r="I14" s="20" t="s">
        <v>52</v>
      </c>
      <c r="J14" s="12">
        <f>COUNTIF($A:$F, "*양우석*")</f>
        <v>0</v>
      </c>
    </row>
    <row r="15">
      <c r="A15" s="47"/>
      <c r="B15" s="47"/>
      <c r="C15" s="47"/>
      <c r="D15" s="47"/>
      <c r="E15" s="47"/>
      <c r="F15" s="51"/>
      <c r="I15" s="20" t="s">
        <v>53</v>
      </c>
      <c r="J15" s="12">
        <f>COUNTIF($A:$F, "*이상환*")</f>
        <v>0</v>
      </c>
    </row>
    <row r="16">
      <c r="A16" s="47"/>
      <c r="B16" s="47"/>
      <c r="C16" s="47"/>
      <c r="D16" s="47"/>
      <c r="E16" s="47"/>
      <c r="F16" s="51"/>
      <c r="I16" s="20" t="s">
        <v>55</v>
      </c>
      <c r="J16" s="12">
        <f>COUNTIF($A:$F, "*이주환*")</f>
        <v>0</v>
      </c>
    </row>
    <row r="17">
      <c r="A17" s="47"/>
      <c r="B17" s="47"/>
      <c r="C17" s="47"/>
      <c r="D17" s="47"/>
      <c r="E17" s="47"/>
      <c r="F17" s="51"/>
      <c r="I17" s="20" t="s">
        <v>57</v>
      </c>
      <c r="J17" s="12">
        <f>COUNTIF($A:$F, "*이하영*")</f>
        <v>0</v>
      </c>
    </row>
    <row r="18">
      <c r="A18" s="47"/>
      <c r="B18" s="47"/>
      <c r="C18" s="47"/>
      <c r="D18" s="47"/>
      <c r="E18" s="47"/>
      <c r="F18" s="51"/>
      <c r="I18" s="20" t="s">
        <v>58</v>
      </c>
      <c r="J18" s="12">
        <f>COUNTIF($A:$F, "*이효숙*")</f>
        <v>0</v>
      </c>
    </row>
    <row r="19">
      <c r="A19" s="47"/>
      <c r="B19" s="47"/>
      <c r="C19" s="47"/>
      <c r="D19" s="47"/>
      <c r="E19" s="47"/>
      <c r="F19" s="51"/>
      <c r="I19" s="20" t="s">
        <v>59</v>
      </c>
      <c r="J19" s="12">
        <f>COUNTIF($A:$F, "*이희영*")</f>
        <v>4</v>
      </c>
    </row>
    <row r="20">
      <c r="A20" s="47"/>
      <c r="B20" s="47"/>
      <c r="C20" s="47"/>
      <c r="D20" s="47"/>
      <c r="E20" s="47"/>
      <c r="F20" s="51"/>
      <c r="I20" s="20" t="s">
        <v>60</v>
      </c>
      <c r="J20" s="12">
        <f>COUNTIF($A:$F, "*장신혜*")</f>
        <v>4</v>
      </c>
    </row>
    <row r="21">
      <c r="A21" s="47"/>
      <c r="B21" s="47"/>
      <c r="C21" s="47"/>
      <c r="D21" s="47"/>
      <c r="E21" s="47"/>
      <c r="F21" s="51"/>
      <c r="I21" s="20" t="s">
        <v>61</v>
      </c>
      <c r="J21" s="12">
        <f>COUNTIF($A:$F, "*정지선*")</f>
        <v>6</v>
      </c>
    </row>
    <row r="22">
      <c r="A22" s="47"/>
      <c r="B22" s="47"/>
      <c r="C22" s="47"/>
      <c r="D22" s="47"/>
      <c r="E22" s="51"/>
      <c r="F22" s="51"/>
      <c r="I22" s="20" t="s">
        <v>62</v>
      </c>
      <c r="J22" s="12">
        <f>COUNTIF($A:$F, "*지명선*")</f>
        <v>2</v>
      </c>
    </row>
    <row r="23">
      <c r="A23" s="47"/>
      <c r="B23" s="47"/>
      <c r="C23" s="47"/>
      <c r="D23" s="47"/>
      <c r="E23" s="46"/>
      <c r="F23" s="51"/>
      <c r="I23" s="20" t="s">
        <v>63</v>
      </c>
      <c r="J23" s="12">
        <f>COUNTIF($A:$F, "*최은주*")</f>
        <v>0</v>
      </c>
    </row>
    <row r="24">
      <c r="A24" s="47"/>
      <c r="B24" s="47"/>
      <c r="C24" s="47"/>
      <c r="D24" s="47"/>
      <c r="E24" s="46"/>
      <c r="F24" s="51"/>
      <c r="I24" s="20" t="s">
        <v>65</v>
      </c>
      <c r="J24" s="12">
        <f>COUNTIF($A:$F, "*한 나*")</f>
        <v>4</v>
      </c>
    </row>
    <row r="25">
      <c r="A25" s="47"/>
      <c r="B25" s="46"/>
      <c r="C25" s="46"/>
      <c r="D25" s="46"/>
      <c r="E25" s="46"/>
      <c r="F25" s="51"/>
      <c r="I25" s="20" t="s">
        <v>66</v>
      </c>
      <c r="J25" s="12">
        <f>COUNTIF($A:$F, "*민현정*")</f>
        <v>0</v>
      </c>
    </row>
    <row r="26">
      <c r="A26" s="47"/>
      <c r="B26" s="48"/>
      <c r="C26" s="48"/>
      <c r="D26" s="55"/>
      <c r="E26" s="55"/>
      <c r="F26" s="51"/>
      <c r="I26" s="54" t="s">
        <v>44</v>
      </c>
      <c r="J26" s="38">
        <f>sum(J3:J25)</f>
        <v>62</v>
      </c>
    </row>
    <row r="27">
      <c r="A27" s="46"/>
      <c r="B27" s="46"/>
      <c r="C27" s="46"/>
      <c r="D27" s="46"/>
      <c r="E27" s="46"/>
      <c r="F27" s="46"/>
    </row>
    <row r="28">
      <c r="A28" s="9">
        <v>9.0</v>
      </c>
      <c r="B28" s="10">
        <v>10.0</v>
      </c>
      <c r="C28" s="10">
        <v>11.0</v>
      </c>
      <c r="D28" s="10">
        <v>12.0</v>
      </c>
      <c r="E28" s="10">
        <v>13.0</v>
      </c>
      <c r="F28" s="10">
        <v>14.0</v>
      </c>
    </row>
    <row r="29">
      <c r="A29" s="228"/>
      <c r="B29" s="228"/>
      <c r="C29" s="228"/>
      <c r="D29" s="228"/>
      <c r="E29" s="228"/>
      <c r="F29" s="228"/>
    </row>
    <row r="30">
      <c r="A30" s="49" t="s">
        <v>64</v>
      </c>
      <c r="B30" s="50"/>
      <c r="C30" s="50"/>
      <c r="D30" s="50"/>
      <c r="E30" s="50"/>
      <c r="F30" s="50"/>
    </row>
    <row r="31">
      <c r="A31" s="47"/>
      <c r="B31" s="48"/>
      <c r="C31" s="55"/>
      <c r="D31" s="47"/>
      <c r="E31" s="55"/>
      <c r="F31" s="51"/>
    </row>
    <row r="32">
      <c r="A32" s="47"/>
      <c r="B32" s="47"/>
      <c r="C32" s="47"/>
      <c r="D32" s="47"/>
      <c r="E32" s="47"/>
      <c r="F32" s="51"/>
    </row>
    <row r="33">
      <c r="A33" s="47"/>
      <c r="B33" s="47"/>
      <c r="C33" s="47"/>
      <c r="D33" s="47"/>
      <c r="E33" s="47"/>
      <c r="F33" s="51"/>
    </row>
    <row r="34">
      <c r="A34" s="47"/>
      <c r="B34" s="47"/>
      <c r="C34" s="47"/>
      <c r="D34" s="47"/>
      <c r="E34" s="47"/>
      <c r="F34" s="51"/>
    </row>
    <row r="35">
      <c r="A35" s="47"/>
      <c r="B35" s="47"/>
      <c r="C35" s="47"/>
      <c r="D35" s="47"/>
      <c r="E35" s="47"/>
      <c r="F35" s="51"/>
    </row>
    <row r="36">
      <c r="A36" s="47"/>
      <c r="B36" s="47"/>
      <c r="C36" s="47"/>
      <c r="D36" s="47"/>
      <c r="E36" s="47"/>
      <c r="F36" s="51"/>
    </row>
    <row r="37">
      <c r="A37" s="47"/>
      <c r="B37" s="47"/>
      <c r="C37" s="47"/>
      <c r="D37" s="47"/>
      <c r="E37" s="47"/>
      <c r="F37" s="51"/>
    </row>
    <row r="38">
      <c r="A38" s="47"/>
      <c r="B38" s="47"/>
      <c r="C38" s="47"/>
      <c r="D38" s="47"/>
      <c r="E38" s="47"/>
      <c r="F38" s="51"/>
    </row>
    <row r="39">
      <c r="A39" s="47"/>
      <c r="B39" s="47"/>
      <c r="C39" s="47"/>
      <c r="D39" s="47"/>
      <c r="E39" s="47"/>
      <c r="F39" s="51"/>
    </row>
    <row r="40">
      <c r="A40" s="47"/>
      <c r="B40" s="47"/>
      <c r="C40" s="47"/>
      <c r="D40" s="47"/>
      <c r="E40" s="47"/>
      <c r="F40" s="51"/>
    </row>
    <row r="41">
      <c r="A41" s="47"/>
      <c r="B41" s="47"/>
      <c r="C41" s="47"/>
      <c r="D41" s="47"/>
      <c r="E41" s="47"/>
      <c r="F41" s="51"/>
    </row>
    <row r="42">
      <c r="A42" s="47"/>
      <c r="B42" s="47"/>
      <c r="C42" s="47"/>
      <c r="D42" s="47"/>
      <c r="E42" s="47"/>
      <c r="F42" s="51"/>
    </row>
    <row r="43">
      <c r="A43" s="47"/>
      <c r="B43" s="47"/>
      <c r="C43" s="47"/>
      <c r="D43" s="47"/>
      <c r="E43" s="47"/>
      <c r="F43" s="51"/>
    </row>
    <row r="44">
      <c r="A44" s="47"/>
      <c r="B44" s="47"/>
      <c r="C44" s="47"/>
      <c r="D44" s="47"/>
      <c r="E44" s="47"/>
      <c r="F44" s="51"/>
    </row>
    <row r="45">
      <c r="A45" s="47"/>
      <c r="B45" s="47"/>
      <c r="C45" s="47"/>
      <c r="D45" s="47"/>
      <c r="E45" s="47"/>
      <c r="F45" s="51"/>
    </row>
    <row r="46">
      <c r="A46" s="47"/>
      <c r="B46" s="47"/>
      <c r="C46" s="47"/>
      <c r="D46" s="47"/>
      <c r="E46" s="47"/>
      <c r="F46" s="51"/>
    </row>
    <row r="47">
      <c r="A47" s="47"/>
      <c r="B47" s="47"/>
      <c r="C47" s="47"/>
      <c r="D47" s="47"/>
      <c r="E47" s="47"/>
      <c r="F47" s="51"/>
    </row>
    <row r="48">
      <c r="A48" s="47"/>
      <c r="B48" s="47"/>
      <c r="C48" s="47"/>
      <c r="D48" s="47"/>
      <c r="E48" s="47"/>
      <c r="F48" s="51"/>
    </row>
    <row r="49">
      <c r="A49" s="47"/>
      <c r="B49" s="47"/>
      <c r="C49" s="46"/>
      <c r="D49" s="46"/>
      <c r="E49" s="46"/>
      <c r="F49" s="51"/>
    </row>
    <row r="50">
      <c r="A50" s="47"/>
      <c r="B50" s="47"/>
      <c r="C50" s="46"/>
      <c r="D50" s="46"/>
      <c r="E50" s="46"/>
      <c r="F50" s="51"/>
    </row>
    <row r="51">
      <c r="A51" s="62"/>
      <c r="B51" s="61"/>
      <c r="C51" s="61"/>
      <c r="D51" s="61"/>
      <c r="E51" s="61"/>
      <c r="F51" s="51"/>
    </row>
    <row r="52">
      <c r="A52" s="62"/>
      <c r="B52" s="62"/>
      <c r="C52" s="62"/>
      <c r="D52" s="62"/>
      <c r="E52" s="62"/>
      <c r="F52" s="51"/>
    </row>
    <row r="53">
      <c r="A53" s="10">
        <v>16.0</v>
      </c>
      <c r="B53" s="10">
        <v>17.0</v>
      </c>
      <c r="C53" s="10">
        <v>18.0</v>
      </c>
      <c r="D53" s="10">
        <v>19.0</v>
      </c>
      <c r="E53" s="10">
        <v>20.0</v>
      </c>
      <c r="F53" s="10">
        <v>21.0</v>
      </c>
    </row>
    <row r="54">
      <c r="A54" s="51"/>
      <c r="B54" s="51"/>
      <c r="C54" s="51"/>
      <c r="D54" s="51"/>
      <c r="E54" s="51"/>
      <c r="F54" s="51"/>
    </row>
    <row r="55">
      <c r="A55" s="197" t="s">
        <v>8</v>
      </c>
      <c r="B55" s="205" t="s">
        <v>364</v>
      </c>
      <c r="C55" s="201" t="s">
        <v>10</v>
      </c>
      <c r="D55" s="229" t="s">
        <v>376</v>
      </c>
      <c r="E55" s="200" t="s">
        <v>32</v>
      </c>
      <c r="F55" s="62"/>
    </row>
    <row r="56">
      <c r="A56" s="197" t="s">
        <v>15</v>
      </c>
      <c r="B56" s="201" t="s">
        <v>407</v>
      </c>
      <c r="C56" s="198" t="s">
        <v>348</v>
      </c>
      <c r="D56" s="229" t="s">
        <v>378</v>
      </c>
      <c r="E56" s="200" t="s">
        <v>36</v>
      </c>
      <c r="F56" s="51"/>
    </row>
    <row r="57">
      <c r="A57" s="47"/>
      <c r="B57" s="201" t="s">
        <v>408</v>
      </c>
      <c r="C57" s="47"/>
      <c r="D57" s="47"/>
      <c r="E57" s="47"/>
      <c r="F57" s="51"/>
    </row>
    <row r="58">
      <c r="A58" s="47"/>
      <c r="B58" s="47"/>
      <c r="C58" s="47"/>
      <c r="D58" s="47"/>
      <c r="E58" s="47"/>
      <c r="F58" s="51"/>
    </row>
    <row r="59">
      <c r="A59" s="47"/>
      <c r="B59" s="47"/>
      <c r="C59" s="201" t="s">
        <v>350</v>
      </c>
      <c r="E59" s="47"/>
      <c r="F59" s="51"/>
    </row>
    <row r="60">
      <c r="A60" s="198" t="s">
        <v>409</v>
      </c>
      <c r="B60" s="47"/>
      <c r="C60" s="201" t="s">
        <v>352</v>
      </c>
      <c r="D60" s="47"/>
      <c r="E60" s="201" t="s">
        <v>353</v>
      </c>
      <c r="F60" s="51"/>
    </row>
    <row r="61">
      <c r="A61" s="198" t="s">
        <v>410</v>
      </c>
      <c r="B61" s="198" t="s">
        <v>411</v>
      </c>
      <c r="C61" s="47"/>
      <c r="D61" s="47"/>
      <c r="E61" s="201" t="s">
        <v>12</v>
      </c>
      <c r="F61" s="51"/>
    </row>
    <row r="62">
      <c r="A62" s="47"/>
      <c r="B62" s="201" t="s">
        <v>412</v>
      </c>
      <c r="C62" s="47"/>
      <c r="D62" s="47"/>
      <c r="E62" s="47"/>
      <c r="F62" s="51"/>
    </row>
    <row r="63">
      <c r="A63" s="47"/>
      <c r="B63" s="47"/>
      <c r="C63" s="47"/>
      <c r="D63" s="47"/>
      <c r="E63" s="47"/>
      <c r="F63" s="51"/>
    </row>
    <row r="64">
      <c r="A64" s="47"/>
      <c r="B64" s="47"/>
      <c r="C64" s="47"/>
      <c r="D64" s="198" t="s">
        <v>413</v>
      </c>
      <c r="E64" s="47"/>
      <c r="F64" s="51"/>
    </row>
    <row r="65">
      <c r="A65" s="200" t="s">
        <v>356</v>
      </c>
      <c r="B65" s="47"/>
      <c r="C65" s="47"/>
      <c r="D65" s="198" t="s">
        <v>414</v>
      </c>
      <c r="E65" s="47"/>
      <c r="F65" s="62"/>
    </row>
    <row r="66">
      <c r="A66" s="200" t="s">
        <v>358</v>
      </c>
      <c r="B66" s="47"/>
      <c r="C66" s="47"/>
      <c r="D66" s="198" t="s">
        <v>415</v>
      </c>
      <c r="E66" s="47"/>
      <c r="F66" s="62"/>
    </row>
    <row r="67">
      <c r="A67" s="47"/>
      <c r="B67" s="47"/>
      <c r="C67" s="47"/>
      <c r="D67" s="47"/>
      <c r="E67" s="47"/>
      <c r="F67" s="62"/>
    </row>
    <row r="68">
      <c r="A68" s="47"/>
      <c r="B68" s="47"/>
      <c r="C68" s="47"/>
      <c r="D68" s="47"/>
      <c r="E68" s="47"/>
      <c r="F68" s="62"/>
    </row>
    <row r="69">
      <c r="A69" s="46"/>
      <c r="B69" s="47"/>
      <c r="C69" s="47"/>
      <c r="D69" s="202" t="s">
        <v>152</v>
      </c>
      <c r="E69" s="47"/>
      <c r="F69" s="62"/>
    </row>
    <row r="70">
      <c r="A70" s="46"/>
      <c r="B70" s="47"/>
      <c r="C70" s="51"/>
      <c r="D70" s="202" t="s">
        <v>416</v>
      </c>
      <c r="E70" s="51"/>
      <c r="F70" s="62"/>
    </row>
    <row r="71">
      <c r="A71" s="201" t="s">
        <v>361</v>
      </c>
      <c r="B71" s="190"/>
      <c r="C71" s="46"/>
      <c r="D71" s="46"/>
      <c r="E71" s="46"/>
      <c r="F71" s="62"/>
    </row>
    <row r="72">
      <c r="A72" s="201" t="s">
        <v>362</v>
      </c>
      <c r="B72" s="46"/>
      <c r="C72" s="46"/>
      <c r="D72" s="46"/>
      <c r="E72" s="46"/>
      <c r="F72" s="62"/>
    </row>
    <row r="73">
      <c r="A73" s="46"/>
      <c r="B73" s="46"/>
      <c r="C73" s="46"/>
      <c r="D73" s="46"/>
      <c r="E73" s="46"/>
      <c r="F73" s="62"/>
    </row>
    <row r="74">
      <c r="A74" s="46"/>
      <c r="B74" s="46"/>
      <c r="C74" s="46"/>
      <c r="D74" s="46"/>
      <c r="E74" s="46"/>
      <c r="F74" s="62"/>
    </row>
    <row r="75">
      <c r="A75" s="46"/>
      <c r="B75" s="46"/>
      <c r="C75" s="46"/>
      <c r="D75" s="46"/>
      <c r="E75" s="46"/>
      <c r="F75" s="62"/>
    </row>
    <row r="76">
      <c r="A76" s="10">
        <v>23.0</v>
      </c>
      <c r="B76" s="10">
        <v>24.0</v>
      </c>
      <c r="C76" s="9">
        <v>25.0</v>
      </c>
      <c r="D76" s="10">
        <v>26.0</v>
      </c>
      <c r="E76" s="9">
        <v>27.0</v>
      </c>
      <c r="F76" s="10">
        <v>28.0</v>
      </c>
    </row>
    <row r="77">
      <c r="A77" s="62"/>
      <c r="B77" s="62"/>
      <c r="C77" s="62"/>
      <c r="D77" s="62"/>
      <c r="E77" s="62"/>
      <c r="F77" s="62"/>
    </row>
    <row r="78">
      <c r="A78" s="197" t="s">
        <v>8</v>
      </c>
      <c r="B78" s="201" t="s">
        <v>31</v>
      </c>
      <c r="C78" s="198" t="s">
        <v>346</v>
      </c>
      <c r="D78" s="229" t="s">
        <v>376</v>
      </c>
      <c r="E78" s="200" t="s">
        <v>32</v>
      </c>
      <c r="F78" s="62"/>
    </row>
    <row r="79">
      <c r="A79" s="197" t="s">
        <v>15</v>
      </c>
      <c r="B79" s="201" t="s">
        <v>417</v>
      </c>
      <c r="C79" s="198" t="s">
        <v>348</v>
      </c>
      <c r="D79" s="229" t="s">
        <v>378</v>
      </c>
      <c r="E79" s="200" t="s">
        <v>36</v>
      </c>
      <c r="F79" s="62"/>
    </row>
    <row r="80">
      <c r="A80" s="47"/>
      <c r="B80" s="201" t="s">
        <v>418</v>
      </c>
      <c r="C80" s="47"/>
      <c r="D80" s="47"/>
      <c r="E80" s="47"/>
      <c r="F80" s="62"/>
    </row>
    <row r="81">
      <c r="A81" s="47"/>
      <c r="B81" s="47"/>
      <c r="C81" s="47"/>
      <c r="D81" s="47"/>
      <c r="E81" s="47"/>
      <c r="F81" s="62"/>
    </row>
    <row r="82">
      <c r="A82" s="47"/>
      <c r="B82" s="47"/>
      <c r="C82" s="201" t="s">
        <v>350</v>
      </c>
      <c r="E82" s="47"/>
      <c r="F82" s="62"/>
    </row>
    <row r="83">
      <c r="A83" s="198" t="s">
        <v>419</v>
      </c>
      <c r="B83" s="47"/>
      <c r="C83" s="201" t="s">
        <v>352</v>
      </c>
      <c r="D83" s="202" t="s">
        <v>129</v>
      </c>
      <c r="E83" s="201" t="s">
        <v>353</v>
      </c>
      <c r="F83" s="62"/>
    </row>
    <row r="84">
      <c r="A84" s="198" t="s">
        <v>420</v>
      </c>
      <c r="B84" s="198" t="s">
        <v>421</v>
      </c>
      <c r="C84" s="47"/>
      <c r="D84" s="202" t="s">
        <v>48</v>
      </c>
      <c r="E84" s="201" t="s">
        <v>12</v>
      </c>
      <c r="F84" s="62"/>
    </row>
    <row r="85">
      <c r="A85" s="47"/>
      <c r="B85" s="201" t="s">
        <v>412</v>
      </c>
      <c r="C85" s="47"/>
      <c r="D85" s="47"/>
      <c r="E85" s="47"/>
      <c r="F85" s="62"/>
    </row>
    <row r="86">
      <c r="A86" s="47"/>
      <c r="B86" s="47"/>
      <c r="C86" s="47"/>
      <c r="D86" s="47"/>
      <c r="E86" s="47"/>
      <c r="F86" s="62"/>
    </row>
    <row r="87">
      <c r="A87" s="47"/>
      <c r="B87" s="47"/>
      <c r="C87" s="47"/>
      <c r="D87" s="198" t="s">
        <v>422</v>
      </c>
      <c r="E87" s="47"/>
      <c r="F87" s="62"/>
    </row>
    <row r="88">
      <c r="A88" s="200" t="s">
        <v>356</v>
      </c>
      <c r="B88" s="47"/>
      <c r="C88" s="47"/>
      <c r="D88" s="198" t="s">
        <v>423</v>
      </c>
      <c r="E88" s="47"/>
      <c r="F88" s="62"/>
    </row>
    <row r="89">
      <c r="A89" s="200" t="s">
        <v>358</v>
      </c>
      <c r="B89" s="47"/>
      <c r="C89" s="47"/>
      <c r="D89" s="198" t="s">
        <v>424</v>
      </c>
      <c r="E89" s="47"/>
      <c r="F89" s="62"/>
    </row>
    <row r="90">
      <c r="A90" s="47"/>
      <c r="B90" s="47"/>
      <c r="C90" s="47"/>
      <c r="D90" s="47"/>
      <c r="E90" s="47"/>
      <c r="F90" s="62"/>
    </row>
    <row r="91">
      <c r="A91" s="47"/>
      <c r="B91" s="47"/>
      <c r="C91" s="47"/>
      <c r="D91" s="47"/>
      <c r="E91" s="47"/>
      <c r="F91" s="62"/>
    </row>
    <row r="92">
      <c r="A92" s="46"/>
      <c r="B92" s="47"/>
      <c r="C92" s="47"/>
      <c r="D92" s="47"/>
      <c r="E92" s="47"/>
      <c r="F92" s="62"/>
    </row>
    <row r="93">
      <c r="A93" s="46"/>
      <c r="B93" s="47"/>
      <c r="C93" s="51"/>
      <c r="D93" s="51"/>
      <c r="E93" s="51"/>
      <c r="F93" s="62"/>
    </row>
    <row r="94">
      <c r="A94" s="201" t="s">
        <v>361</v>
      </c>
      <c r="B94" s="190"/>
      <c r="C94" s="46"/>
      <c r="D94" s="46"/>
      <c r="E94" s="46"/>
      <c r="F94" s="62"/>
    </row>
    <row r="95">
      <c r="A95" s="201" t="s">
        <v>362</v>
      </c>
      <c r="B95" s="46"/>
      <c r="C95" s="46"/>
      <c r="D95" s="46"/>
      <c r="E95" s="46"/>
      <c r="F95" s="62"/>
    </row>
    <row r="96">
      <c r="A96" s="46"/>
      <c r="B96" s="46"/>
      <c r="C96" s="46"/>
      <c r="D96" s="46"/>
      <c r="E96" s="46"/>
      <c r="F96" s="46"/>
    </row>
    <row r="97">
      <c r="A97" s="46"/>
      <c r="B97" s="46"/>
      <c r="C97" s="46"/>
      <c r="D97" s="46"/>
      <c r="E97" s="46"/>
      <c r="F97" s="46"/>
    </row>
    <row r="98">
      <c r="A98" s="230"/>
      <c r="B98" s="46"/>
      <c r="C98" s="46"/>
      <c r="D98" s="46"/>
      <c r="E98" s="46"/>
      <c r="F98" s="46"/>
    </row>
    <row r="99">
      <c r="A99" s="10">
        <v>30.0</v>
      </c>
      <c r="B99" s="9"/>
      <c r="C99" s="10"/>
      <c r="D99" s="9"/>
      <c r="E99" s="10"/>
      <c r="F99" s="9"/>
    </row>
    <row r="100">
      <c r="A100" s="62"/>
      <c r="B100" s="62"/>
      <c r="C100" s="62"/>
      <c r="D100" s="62"/>
      <c r="E100" s="62"/>
      <c r="F100" s="62"/>
    </row>
    <row r="101">
      <c r="A101" s="197" t="s">
        <v>8</v>
      </c>
      <c r="B101" s="47"/>
      <c r="C101" s="47"/>
      <c r="D101" s="47"/>
      <c r="E101" s="47"/>
      <c r="F101" s="62"/>
    </row>
    <row r="102">
      <c r="A102" s="198" t="s">
        <v>392</v>
      </c>
      <c r="B102" s="47"/>
      <c r="C102" s="47"/>
      <c r="D102" s="47"/>
      <c r="E102" s="47"/>
      <c r="F102" s="62"/>
    </row>
    <row r="103">
      <c r="A103" s="47"/>
      <c r="B103" s="47"/>
      <c r="C103" s="47"/>
      <c r="D103" s="47"/>
      <c r="E103" s="47"/>
      <c r="F103" s="62"/>
    </row>
    <row r="104">
      <c r="A104" s="47"/>
      <c r="B104" s="47"/>
      <c r="C104" s="47"/>
      <c r="D104" s="47"/>
      <c r="E104" s="47"/>
      <c r="F104" s="62"/>
    </row>
    <row r="105">
      <c r="A105" s="47"/>
      <c r="B105" s="47"/>
      <c r="C105" s="47"/>
      <c r="D105" s="47"/>
      <c r="E105" s="47"/>
      <c r="F105" s="62"/>
    </row>
    <row r="106">
      <c r="A106" s="198" t="s">
        <v>425</v>
      </c>
      <c r="B106" s="47"/>
      <c r="C106" s="47"/>
      <c r="D106" s="47"/>
      <c r="E106" s="47"/>
      <c r="F106" s="62"/>
    </row>
    <row r="107">
      <c r="A107" s="198" t="s">
        <v>426</v>
      </c>
      <c r="B107" s="47"/>
      <c r="C107" s="47"/>
      <c r="D107" s="47"/>
      <c r="E107" s="47"/>
      <c r="F107" s="62"/>
    </row>
    <row r="108">
      <c r="A108" s="47"/>
      <c r="B108" s="47"/>
      <c r="C108" s="47"/>
      <c r="D108" s="47"/>
      <c r="E108" s="47"/>
      <c r="F108" s="62"/>
    </row>
    <row r="109">
      <c r="A109" s="47"/>
      <c r="B109" s="47"/>
      <c r="C109" s="47"/>
      <c r="D109" s="47"/>
      <c r="E109" s="47"/>
      <c r="F109" s="62"/>
    </row>
    <row r="110">
      <c r="A110" s="47"/>
      <c r="B110" s="47"/>
      <c r="C110" s="47"/>
      <c r="D110" s="47"/>
      <c r="E110" s="47"/>
      <c r="F110" s="62"/>
    </row>
    <row r="111">
      <c r="A111" s="200" t="s">
        <v>356</v>
      </c>
      <c r="B111" s="47"/>
      <c r="C111" s="47"/>
      <c r="D111" s="47"/>
      <c r="E111" s="47"/>
      <c r="F111" s="62"/>
    </row>
    <row r="112">
      <c r="A112" s="200" t="s">
        <v>358</v>
      </c>
      <c r="B112" s="47"/>
      <c r="C112" s="47"/>
      <c r="D112" s="47"/>
      <c r="E112" s="47"/>
      <c r="F112" s="62"/>
    </row>
    <row r="113">
      <c r="A113" s="47"/>
      <c r="B113" s="47"/>
      <c r="C113" s="47"/>
      <c r="D113" s="47"/>
      <c r="E113" s="47"/>
      <c r="F113" s="62"/>
    </row>
    <row r="114">
      <c r="A114" s="47"/>
      <c r="B114" s="47"/>
      <c r="C114" s="47"/>
      <c r="D114" s="47"/>
      <c r="E114" s="47"/>
      <c r="F114" s="62"/>
    </row>
    <row r="115">
      <c r="A115" s="46"/>
      <c r="B115" s="47"/>
      <c r="C115" s="47"/>
      <c r="D115" s="47"/>
      <c r="E115" s="47"/>
      <c r="F115" s="62"/>
    </row>
    <row r="116">
      <c r="A116" s="46"/>
      <c r="B116" s="47"/>
      <c r="C116" s="51"/>
      <c r="D116" s="51"/>
      <c r="E116" s="51"/>
      <c r="F116" s="62"/>
    </row>
    <row r="117">
      <c r="A117" s="44"/>
      <c r="B117" s="190"/>
      <c r="C117" s="46"/>
      <c r="D117" s="46"/>
      <c r="E117" s="46"/>
      <c r="F117" s="62"/>
    </row>
    <row r="118">
      <c r="A118" s="44"/>
      <c r="B118" s="62"/>
      <c r="C118" s="62"/>
      <c r="D118" s="62"/>
      <c r="E118" s="62"/>
      <c r="F118" s="62"/>
    </row>
    <row r="119">
      <c r="A119" s="46"/>
      <c r="B119" s="46"/>
      <c r="C119" s="46"/>
      <c r="D119" s="46"/>
      <c r="E119" s="46"/>
      <c r="F119" s="46"/>
    </row>
    <row r="120">
      <c r="A120" s="46"/>
      <c r="B120" s="46"/>
      <c r="C120" s="46"/>
      <c r="D120" s="46"/>
      <c r="E120" s="46"/>
      <c r="F120" s="46"/>
    </row>
    <row r="121">
      <c r="A121" s="75"/>
      <c r="B121" s="75"/>
      <c r="C121" s="75"/>
      <c r="D121" s="75"/>
      <c r="E121" s="75"/>
      <c r="F121" s="75"/>
    </row>
  </sheetData>
  <mergeCells count="3">
    <mergeCell ref="A1:F1"/>
    <mergeCell ref="A5:F5"/>
    <mergeCell ref="A30:F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31.86"/>
    <col customWidth="1" min="3" max="3" width="29.0"/>
    <col customWidth="1" min="4" max="4" width="27.14"/>
    <col customWidth="1" min="5" max="6" width="32.43"/>
    <col customWidth="1" min="7" max="7" width="9.57"/>
    <col customWidth="1" min="8" max="8" width="4.29"/>
    <col customWidth="1" min="9" max="9" width="7.43"/>
    <col customWidth="1" min="10" max="10" width="4.29"/>
  </cols>
  <sheetData>
    <row r="1">
      <c r="A1" s="1">
        <v>45778.0</v>
      </c>
      <c r="B1" s="2"/>
      <c r="C1" s="2"/>
      <c r="D1" s="2"/>
      <c r="E1" s="2"/>
      <c r="F1" s="3"/>
    </row>
    <row r="2">
      <c r="A2" s="4" t="s">
        <v>427</v>
      </c>
      <c r="B2" s="5" t="s">
        <v>428</v>
      </c>
      <c r="C2" s="5" t="s">
        <v>429</v>
      </c>
      <c r="D2" s="5" t="s">
        <v>430</v>
      </c>
      <c r="E2" s="6" t="s">
        <v>431</v>
      </c>
      <c r="F2" s="7" t="s">
        <v>5</v>
      </c>
    </row>
    <row r="3">
      <c r="A3" s="231"/>
      <c r="B3" s="231"/>
      <c r="D3" s="9">
        <v>1.0</v>
      </c>
      <c r="E3" s="8">
        <v>2.0</v>
      </c>
      <c r="F3" s="8">
        <v>3.0</v>
      </c>
      <c r="G3" s="11" t="s">
        <v>344</v>
      </c>
      <c r="H3" s="12">
        <f>COUNTIF($A:$F, "*진로취업*")</f>
        <v>17</v>
      </c>
      <c r="I3" s="13" t="s">
        <v>7</v>
      </c>
      <c r="J3" s="12">
        <f>COUNTIF($A:$F, "*강 진*")</f>
        <v>11</v>
      </c>
    </row>
    <row r="4">
      <c r="A4" s="51"/>
      <c r="B4" s="51"/>
      <c r="C4" s="51"/>
      <c r="D4" s="208" t="s">
        <v>432</v>
      </c>
      <c r="E4" s="51"/>
      <c r="F4" s="51"/>
      <c r="G4" s="11" t="s">
        <v>13</v>
      </c>
      <c r="H4" s="12">
        <f>COUNTIF($A:$F, "*서류면접*")</f>
        <v>89</v>
      </c>
      <c r="I4" s="20" t="s">
        <v>14</v>
      </c>
      <c r="J4" s="12">
        <f>COUNTIF($A:$F, "*김나영*")</f>
        <v>12</v>
      </c>
    </row>
    <row r="5">
      <c r="A5" s="47"/>
      <c r="B5" s="47"/>
      <c r="C5" s="47"/>
      <c r="D5" s="49" t="s">
        <v>221</v>
      </c>
      <c r="E5" s="50"/>
      <c r="F5" s="164"/>
      <c r="G5" s="11" t="s">
        <v>20</v>
      </c>
      <c r="H5" s="12">
        <f>COUNTIF($A:$F, "*공기업*")</f>
        <v>4</v>
      </c>
      <c r="I5" s="20" t="s">
        <v>21</v>
      </c>
      <c r="J5" s="12">
        <f>COUNTIF($A:$F, "*김미령*")</f>
        <v>0</v>
      </c>
    </row>
    <row r="6">
      <c r="A6" s="51"/>
      <c r="B6" s="51"/>
      <c r="C6" s="51"/>
      <c r="D6" s="51"/>
      <c r="E6" s="62"/>
      <c r="F6" s="47"/>
      <c r="G6" s="11" t="s">
        <v>22</v>
      </c>
      <c r="H6" s="12">
        <f>COUNTIF($A:$F, "*외국계*")</f>
        <v>9</v>
      </c>
      <c r="I6" s="20" t="s">
        <v>23</v>
      </c>
      <c r="J6" s="12">
        <f>COUNTIF($A:$F, "*김민경*")</f>
        <v>6</v>
      </c>
    </row>
    <row r="7">
      <c r="A7" s="47"/>
      <c r="B7" s="47"/>
      <c r="C7" s="47"/>
      <c r="D7" s="47"/>
      <c r="E7" s="200" t="s">
        <v>32</v>
      </c>
      <c r="F7" s="197" t="s">
        <v>433</v>
      </c>
      <c r="G7" s="11" t="s">
        <v>25</v>
      </c>
      <c r="H7" s="12">
        <f>COUNTIF($A:$F, "*이공계*")</f>
        <v>12</v>
      </c>
      <c r="I7" s="20" t="s">
        <v>26</v>
      </c>
      <c r="J7" s="12">
        <f>COUNTIF($A:$F, "*김선화*")</f>
        <v>8</v>
      </c>
    </row>
    <row r="8">
      <c r="A8" s="47"/>
      <c r="B8" s="47"/>
      <c r="C8" s="47"/>
      <c r="D8" s="47"/>
      <c r="E8" s="200" t="s">
        <v>36</v>
      </c>
      <c r="F8" s="197" t="s">
        <v>92</v>
      </c>
      <c r="G8" s="11" t="s">
        <v>29</v>
      </c>
      <c r="H8" s="12">
        <f>COUNTIF($A:$F, "*콘텐츠*")</f>
        <v>5</v>
      </c>
      <c r="I8" s="20" t="s">
        <v>30</v>
      </c>
      <c r="J8" s="12">
        <f>COUNTIF($A:$F, "*김세희*")</f>
        <v>4</v>
      </c>
    </row>
    <row r="9">
      <c r="A9" s="47"/>
      <c r="B9" s="47"/>
      <c r="C9" s="47"/>
      <c r="D9" s="47"/>
      <c r="E9" s="47"/>
      <c r="F9" s="47"/>
      <c r="G9" s="11" t="s">
        <v>33</v>
      </c>
      <c r="H9" s="12">
        <f>COUNTIF($A:$F, "*금융*")</f>
        <v>0</v>
      </c>
      <c r="I9" s="20" t="s">
        <v>34</v>
      </c>
      <c r="J9" s="12">
        <f>COUNTIF($A:$F, "*김지현*")</f>
        <v>7</v>
      </c>
    </row>
    <row r="10">
      <c r="A10" s="47"/>
      <c r="B10" s="47"/>
      <c r="C10" s="47"/>
      <c r="D10" s="47"/>
      <c r="E10" s="47"/>
      <c r="F10" s="47"/>
      <c r="G10" s="34" t="s">
        <v>37</v>
      </c>
      <c r="H10" s="12">
        <f>COUNTIF($A:$F, "*IT*")</f>
        <v>0</v>
      </c>
      <c r="I10" s="20" t="s">
        <v>38</v>
      </c>
      <c r="J10" s="12">
        <f>COUNTIF($A:$F, "*범하나*")</f>
        <v>12</v>
      </c>
    </row>
    <row r="11">
      <c r="A11" s="47"/>
      <c r="B11" s="47"/>
      <c r="C11" s="47"/>
      <c r="D11" s="47"/>
      <c r="E11" s="47"/>
      <c r="F11" s="47"/>
      <c r="G11" s="11" t="s">
        <v>40</v>
      </c>
      <c r="H11" s="12">
        <f>COUNTIF($A:$F, "*임원면접*")</f>
        <v>9</v>
      </c>
      <c r="I11" s="20" t="s">
        <v>41</v>
      </c>
      <c r="J11" s="12">
        <f>COUNTIF($A:$F, "*성지우*")</f>
        <v>4</v>
      </c>
    </row>
    <row r="12">
      <c r="A12" s="47"/>
      <c r="B12" s="47"/>
      <c r="C12" s="47"/>
      <c r="D12" s="47"/>
      <c r="E12" s="201" t="s">
        <v>353</v>
      </c>
      <c r="F12" s="201" t="s">
        <v>434</v>
      </c>
      <c r="G12" s="37" t="s">
        <v>44</v>
      </c>
      <c r="H12" s="38">
        <f>sum(H3:H11)</f>
        <v>145</v>
      </c>
      <c r="I12" s="20" t="s">
        <v>45</v>
      </c>
      <c r="J12" s="12">
        <f>COUNTIF($A:$F, "*신민이*")</f>
        <v>6</v>
      </c>
    </row>
    <row r="13">
      <c r="A13" s="47"/>
      <c r="B13" s="47"/>
      <c r="C13" s="47"/>
      <c r="D13" s="47"/>
      <c r="E13" s="201" t="s">
        <v>12</v>
      </c>
      <c r="F13" s="201" t="s">
        <v>435</v>
      </c>
      <c r="I13" s="20" t="s">
        <v>49</v>
      </c>
      <c r="J13" s="12">
        <f>COUNTIF($A:$F, "*심영섭*")</f>
        <v>11</v>
      </c>
    </row>
    <row r="14">
      <c r="A14" s="47"/>
      <c r="B14" s="47"/>
      <c r="C14" s="47"/>
      <c r="D14" s="47"/>
      <c r="E14" s="47"/>
      <c r="F14" s="47"/>
      <c r="I14" s="20" t="s">
        <v>52</v>
      </c>
      <c r="J14" s="12">
        <f>COUNTIF($A:$F, "*양우석*")</f>
        <v>10</v>
      </c>
    </row>
    <row r="15">
      <c r="A15" s="47"/>
      <c r="B15" s="47"/>
      <c r="C15" s="47"/>
      <c r="D15" s="47"/>
      <c r="E15" s="47"/>
      <c r="F15" s="47"/>
      <c r="I15" s="20" t="s">
        <v>53</v>
      </c>
      <c r="J15" s="12">
        <f>COUNTIF($A:$F, "*이상환*")</f>
        <v>8</v>
      </c>
    </row>
    <row r="16">
      <c r="A16" s="47"/>
      <c r="B16" s="47"/>
      <c r="C16" s="47"/>
      <c r="D16" s="47"/>
      <c r="E16" s="47"/>
      <c r="F16" s="201" t="s">
        <v>67</v>
      </c>
      <c r="I16" s="20" t="s">
        <v>55</v>
      </c>
      <c r="J16" s="12">
        <f>COUNTIF($A:$F, "*이주환*")</f>
        <v>0</v>
      </c>
    </row>
    <row r="17">
      <c r="A17" s="47"/>
      <c r="B17" s="47"/>
      <c r="C17" s="47"/>
      <c r="D17" s="47"/>
      <c r="E17" s="47"/>
      <c r="F17" s="201" t="s">
        <v>31</v>
      </c>
      <c r="I17" s="20" t="s">
        <v>57</v>
      </c>
      <c r="J17" s="12">
        <f>COUNTIF($A:$F, "*이하영*")</f>
        <v>0</v>
      </c>
    </row>
    <row r="18">
      <c r="A18" s="47"/>
      <c r="B18" s="47"/>
      <c r="C18" s="47"/>
      <c r="D18" s="47"/>
      <c r="E18" s="47"/>
      <c r="F18" s="47"/>
      <c r="I18" s="20" t="s">
        <v>58</v>
      </c>
      <c r="J18" s="12">
        <f>COUNTIF($A:$F, "*이효숙*")</f>
        <v>0</v>
      </c>
    </row>
    <row r="19">
      <c r="A19" s="47"/>
      <c r="B19" s="47"/>
      <c r="C19" s="47"/>
      <c r="D19" s="51"/>
      <c r="E19" s="47"/>
      <c r="F19" s="47"/>
      <c r="I19" s="20" t="s">
        <v>59</v>
      </c>
      <c r="J19" s="12">
        <f>COUNTIF($A:$F, "*이희영*")</f>
        <v>12</v>
      </c>
    </row>
    <row r="20">
      <c r="A20" s="47"/>
      <c r="B20" s="47"/>
      <c r="C20" s="47"/>
      <c r="D20" s="46"/>
      <c r="E20" s="47"/>
      <c r="F20" s="47"/>
      <c r="I20" s="20" t="s">
        <v>60</v>
      </c>
      <c r="J20" s="12">
        <f>COUNTIF($A:$F, "*장신혜*")</f>
        <v>10</v>
      </c>
    </row>
    <row r="21">
      <c r="A21" s="47"/>
      <c r="B21" s="47"/>
      <c r="C21" s="47"/>
      <c r="D21" s="46"/>
      <c r="E21" s="47"/>
      <c r="F21" s="47"/>
      <c r="I21" s="20" t="s">
        <v>61</v>
      </c>
      <c r="J21" s="12">
        <f>COUNTIF($A:$F, "*정지선*")</f>
        <v>11</v>
      </c>
    </row>
    <row r="22">
      <c r="A22" s="51"/>
      <c r="B22" s="51"/>
      <c r="C22" s="51"/>
      <c r="D22" s="51"/>
      <c r="E22" s="51"/>
      <c r="F22" s="47"/>
      <c r="I22" s="20" t="s">
        <v>62</v>
      </c>
      <c r="J22" s="12">
        <f>COUNTIF($A:$F, "*지명선*")</f>
        <v>5</v>
      </c>
    </row>
    <row r="23">
      <c r="A23" s="51"/>
      <c r="B23" s="51"/>
      <c r="C23" s="51"/>
      <c r="D23" s="51"/>
      <c r="E23" s="46"/>
      <c r="F23" s="47"/>
      <c r="I23" s="20" t="s">
        <v>63</v>
      </c>
      <c r="J23" s="12">
        <f>COUNTIF($A:$F, "*최은주*")</f>
        <v>0</v>
      </c>
    </row>
    <row r="24">
      <c r="A24" s="46"/>
      <c r="B24" s="46"/>
      <c r="C24" s="46"/>
      <c r="D24" s="46"/>
      <c r="E24" s="46"/>
      <c r="F24" s="47"/>
      <c r="I24" s="20" t="s">
        <v>65</v>
      </c>
      <c r="J24" s="12">
        <f>COUNTIF($A:$F, "*한 나*")</f>
        <v>8</v>
      </c>
    </row>
    <row r="25">
      <c r="A25" s="46"/>
      <c r="B25" s="46"/>
      <c r="C25" s="46"/>
      <c r="D25" s="46"/>
      <c r="E25" s="46"/>
      <c r="F25" s="47"/>
      <c r="I25" s="20" t="s">
        <v>66</v>
      </c>
      <c r="J25" s="12">
        <f>COUNTIF($A:$F, "*민현정*")</f>
        <v>0</v>
      </c>
    </row>
    <row r="26">
      <c r="A26" s="46"/>
      <c r="B26" s="46"/>
      <c r="C26" s="46"/>
      <c r="D26" s="46"/>
      <c r="E26" s="46"/>
      <c r="F26" s="46"/>
      <c r="I26" s="54" t="s">
        <v>44</v>
      </c>
      <c r="J26" s="38">
        <f>sum(J3:J25)</f>
        <v>145</v>
      </c>
    </row>
    <row r="27">
      <c r="A27" s="46"/>
      <c r="B27" s="46"/>
      <c r="C27" s="46"/>
      <c r="D27" s="46"/>
      <c r="E27" s="46"/>
      <c r="F27" s="46"/>
    </row>
    <row r="28">
      <c r="A28" s="46"/>
      <c r="B28" s="46"/>
      <c r="C28" s="46"/>
      <c r="D28" s="46"/>
      <c r="E28" s="46"/>
      <c r="F28" s="46"/>
    </row>
    <row r="29">
      <c r="A29" s="46"/>
      <c r="B29" s="46"/>
      <c r="C29" s="46"/>
      <c r="D29" s="46"/>
      <c r="E29" s="46"/>
      <c r="F29" s="201" t="s">
        <v>436</v>
      </c>
    </row>
    <row r="30">
      <c r="A30" s="46"/>
      <c r="B30" s="46"/>
      <c r="C30" s="46"/>
      <c r="D30" s="46"/>
      <c r="E30" s="46"/>
      <c r="F30" s="46"/>
    </row>
    <row r="31">
      <c r="A31" s="75"/>
      <c r="B31" s="75"/>
      <c r="C31" s="75"/>
      <c r="D31" s="75"/>
      <c r="E31" s="75"/>
      <c r="F31" s="75"/>
    </row>
    <row r="32">
      <c r="A32" s="64">
        <v>5.0</v>
      </c>
      <c r="B32" s="64">
        <v>6.0</v>
      </c>
      <c r="C32" s="8">
        <v>7.0</v>
      </c>
      <c r="D32" s="8">
        <v>8.0</v>
      </c>
      <c r="E32" s="8">
        <v>9.0</v>
      </c>
      <c r="F32" s="8">
        <v>10.0</v>
      </c>
    </row>
    <row r="33">
      <c r="A33" s="64" t="s">
        <v>437</v>
      </c>
      <c r="B33" s="64" t="s">
        <v>438</v>
      </c>
      <c r="C33" s="146"/>
      <c r="D33" s="146"/>
      <c r="E33" s="146"/>
      <c r="F33" s="208" t="s">
        <v>439</v>
      </c>
    </row>
    <row r="34">
      <c r="A34" s="51"/>
      <c r="B34" s="51"/>
      <c r="F34" s="46"/>
    </row>
    <row r="35">
      <c r="A35" s="51"/>
      <c r="B35" s="51"/>
      <c r="C35" s="201" t="s">
        <v>10</v>
      </c>
      <c r="D35" s="229" t="s">
        <v>440</v>
      </c>
      <c r="E35" s="200" t="s">
        <v>32</v>
      </c>
      <c r="F35" s="46"/>
    </row>
    <row r="36">
      <c r="A36" s="51"/>
      <c r="B36" s="51"/>
      <c r="C36" s="201" t="s">
        <v>17</v>
      </c>
      <c r="D36" s="229" t="s">
        <v>441</v>
      </c>
      <c r="E36" s="200" t="s">
        <v>36</v>
      </c>
      <c r="F36" s="46"/>
    </row>
    <row r="37">
      <c r="A37" s="51"/>
      <c r="B37" s="51"/>
      <c r="C37" s="47"/>
      <c r="D37" s="201" t="s">
        <v>442</v>
      </c>
      <c r="E37" s="200" t="s">
        <v>112</v>
      </c>
      <c r="F37" s="46"/>
    </row>
    <row r="38">
      <c r="A38" s="51"/>
      <c r="B38" s="51"/>
      <c r="C38" s="47"/>
      <c r="D38" s="47"/>
      <c r="E38" s="47"/>
      <c r="F38" s="46"/>
    </row>
    <row r="39">
      <c r="A39" s="51"/>
      <c r="B39" s="51"/>
      <c r="C39" s="205" t="s">
        <v>443</v>
      </c>
      <c r="E39" s="47"/>
      <c r="F39" s="46"/>
    </row>
    <row r="40">
      <c r="A40" s="51"/>
      <c r="B40" s="51"/>
      <c r="C40" s="201" t="s">
        <v>352</v>
      </c>
      <c r="D40" s="232" t="s">
        <v>100</v>
      </c>
      <c r="E40" s="201" t="s">
        <v>353</v>
      </c>
      <c r="F40" s="46"/>
    </row>
    <row r="41">
      <c r="A41" s="51"/>
      <c r="B41" s="47"/>
      <c r="C41" s="47"/>
      <c r="D41" s="232" t="s">
        <v>103</v>
      </c>
      <c r="E41" s="201" t="s">
        <v>12</v>
      </c>
      <c r="F41" s="46"/>
    </row>
    <row r="42">
      <c r="A42" s="51"/>
      <c r="B42" s="47"/>
      <c r="C42" s="47"/>
      <c r="D42" s="47"/>
      <c r="E42" s="201" t="s">
        <v>19</v>
      </c>
      <c r="F42" s="46"/>
    </row>
    <row r="43">
      <c r="A43" s="51"/>
      <c r="B43" s="47"/>
      <c r="C43" s="47"/>
      <c r="D43" s="47"/>
      <c r="E43" s="47"/>
      <c r="F43" s="46"/>
    </row>
    <row r="44">
      <c r="A44" s="51"/>
      <c r="B44" s="47"/>
      <c r="C44" s="47"/>
      <c r="D44" s="198" t="s">
        <v>444</v>
      </c>
      <c r="E44" s="47"/>
      <c r="F44" s="46"/>
    </row>
    <row r="45">
      <c r="A45" s="51"/>
      <c r="B45" s="47"/>
      <c r="C45" s="47"/>
      <c r="D45" s="198" t="s">
        <v>445</v>
      </c>
      <c r="E45" s="47"/>
      <c r="F45" s="46"/>
    </row>
    <row r="46">
      <c r="A46" s="51"/>
      <c r="B46" s="47"/>
      <c r="C46" s="47"/>
      <c r="D46" s="198" t="s">
        <v>446</v>
      </c>
      <c r="E46" s="47"/>
      <c r="F46" s="46"/>
    </row>
    <row r="47">
      <c r="A47" s="51"/>
      <c r="B47" s="51"/>
      <c r="C47" s="47"/>
      <c r="D47" s="47"/>
      <c r="E47" s="47"/>
      <c r="F47" s="46"/>
    </row>
    <row r="48">
      <c r="A48" s="51"/>
      <c r="B48" s="51"/>
      <c r="C48" s="47"/>
      <c r="D48" s="47"/>
      <c r="E48" s="47"/>
      <c r="F48" s="46"/>
    </row>
    <row r="49">
      <c r="A49" s="51"/>
      <c r="B49" s="51"/>
      <c r="C49" s="47"/>
      <c r="D49" s="202" t="s">
        <v>359</v>
      </c>
      <c r="E49" s="47"/>
      <c r="F49" s="46"/>
    </row>
    <row r="50">
      <c r="A50" s="51"/>
      <c r="B50" s="51"/>
      <c r="C50" s="51"/>
      <c r="D50" s="202" t="s">
        <v>360</v>
      </c>
      <c r="E50" s="51"/>
      <c r="F50" s="47"/>
    </row>
    <row r="51">
      <c r="A51" s="51"/>
      <c r="B51" s="51"/>
      <c r="C51" s="46"/>
      <c r="D51" s="202" t="s">
        <v>447</v>
      </c>
      <c r="E51" s="46"/>
      <c r="F51" s="47"/>
    </row>
    <row r="52">
      <c r="A52" s="51"/>
      <c r="B52" s="51"/>
      <c r="C52" s="46"/>
      <c r="D52" s="46"/>
      <c r="E52" s="46"/>
      <c r="F52" s="47"/>
    </row>
    <row r="53">
      <c r="A53" s="51"/>
      <c r="B53" s="51"/>
      <c r="C53" s="46"/>
      <c r="D53" s="46"/>
      <c r="E53" s="46"/>
      <c r="F53" s="47"/>
    </row>
    <row r="54">
      <c r="A54" s="51"/>
      <c r="B54" s="51"/>
      <c r="C54" s="201" t="s">
        <v>436</v>
      </c>
      <c r="D54" s="201" t="s">
        <v>436</v>
      </c>
      <c r="E54" s="201" t="s">
        <v>436</v>
      </c>
      <c r="F54" s="47"/>
    </row>
    <row r="55">
      <c r="A55" s="51"/>
      <c r="B55" s="51"/>
      <c r="C55" s="51"/>
      <c r="D55" s="51"/>
      <c r="E55" s="51"/>
      <c r="F55" s="47"/>
    </row>
    <row r="56">
      <c r="A56" s="51"/>
      <c r="B56" s="51"/>
      <c r="C56" s="51"/>
      <c r="D56" s="51"/>
      <c r="E56" s="51"/>
      <c r="F56" s="47"/>
    </row>
    <row r="57">
      <c r="A57" s="46"/>
      <c r="B57" s="46"/>
      <c r="C57" s="46"/>
      <c r="D57" s="46"/>
      <c r="E57" s="46"/>
      <c r="F57" s="46"/>
    </row>
    <row r="58">
      <c r="A58" s="75"/>
      <c r="B58" s="75"/>
      <c r="C58" s="75"/>
      <c r="D58" s="75"/>
      <c r="E58" s="75"/>
      <c r="F58" s="75"/>
    </row>
    <row r="59">
      <c r="A59" s="97">
        <v>12.0</v>
      </c>
      <c r="B59" s="97">
        <v>13.0</v>
      </c>
      <c r="C59" s="9">
        <v>14.0</v>
      </c>
      <c r="D59" s="233">
        <v>15.0</v>
      </c>
      <c r="E59" s="9">
        <v>16.0</v>
      </c>
      <c r="F59" s="9">
        <v>17.0</v>
      </c>
    </row>
    <row r="60">
      <c r="A60" s="47"/>
      <c r="B60" s="47"/>
      <c r="C60" s="64"/>
      <c r="D60" s="47"/>
      <c r="E60" s="47"/>
      <c r="F60" s="47"/>
    </row>
    <row r="61">
      <c r="A61" s="197" t="s">
        <v>448</v>
      </c>
      <c r="B61" s="205" t="s">
        <v>449</v>
      </c>
      <c r="C61" s="201" t="s">
        <v>10</v>
      </c>
      <c r="D61" s="229" t="s">
        <v>450</v>
      </c>
      <c r="E61" s="200" t="s">
        <v>32</v>
      </c>
      <c r="F61" s="197" t="s">
        <v>433</v>
      </c>
    </row>
    <row r="62">
      <c r="A62" s="197" t="s">
        <v>451</v>
      </c>
      <c r="B62" s="201" t="s">
        <v>452</v>
      </c>
      <c r="C62" s="201" t="s">
        <v>17</v>
      </c>
      <c r="D62" s="229" t="s">
        <v>453</v>
      </c>
      <c r="E62" s="200" t="s">
        <v>36</v>
      </c>
      <c r="F62" s="197" t="s">
        <v>92</v>
      </c>
    </row>
    <row r="63">
      <c r="A63" s="201" t="s">
        <v>454</v>
      </c>
      <c r="B63" s="201" t="s">
        <v>455</v>
      </c>
      <c r="C63" s="47"/>
      <c r="D63" s="201" t="s">
        <v>456</v>
      </c>
      <c r="E63" s="200" t="s">
        <v>112</v>
      </c>
      <c r="F63" s="47"/>
    </row>
    <row r="64">
      <c r="A64" s="47"/>
      <c r="B64" s="47"/>
      <c r="C64" s="47"/>
      <c r="D64" s="47"/>
      <c r="E64" s="47"/>
      <c r="F64" s="47"/>
    </row>
    <row r="65">
      <c r="A65" s="47"/>
      <c r="B65" s="47"/>
      <c r="C65" s="205" t="s">
        <v>457</v>
      </c>
      <c r="E65" s="47"/>
      <c r="F65" s="201" t="s">
        <v>458</v>
      </c>
    </row>
    <row r="66">
      <c r="A66" s="198" t="s">
        <v>459</v>
      </c>
      <c r="B66" s="47"/>
      <c r="C66" s="201" t="s">
        <v>196</v>
      </c>
      <c r="D66" s="47"/>
      <c r="E66" s="201" t="s">
        <v>353</v>
      </c>
      <c r="F66" s="201" t="s">
        <v>460</v>
      </c>
    </row>
    <row r="67">
      <c r="A67" s="198" t="s">
        <v>461</v>
      </c>
      <c r="B67" s="201" t="s">
        <v>462</v>
      </c>
      <c r="C67" s="47"/>
      <c r="D67" s="47"/>
      <c r="E67" s="201" t="s">
        <v>12</v>
      </c>
      <c r="F67" s="47"/>
    </row>
    <row r="68">
      <c r="A68" s="47"/>
      <c r="B68" s="201" t="s">
        <v>463</v>
      </c>
      <c r="C68" s="47"/>
      <c r="D68" s="47"/>
      <c r="E68" s="201" t="s">
        <v>19</v>
      </c>
      <c r="F68" s="47"/>
    </row>
    <row r="69">
      <c r="A69" s="47"/>
      <c r="B69" s="47"/>
      <c r="C69" s="202" t="s">
        <v>129</v>
      </c>
      <c r="D69" s="47"/>
      <c r="E69" s="47"/>
      <c r="F69" s="201" t="s">
        <v>464</v>
      </c>
    </row>
    <row r="70">
      <c r="A70" s="47"/>
      <c r="B70" s="47"/>
      <c r="C70" s="202" t="s">
        <v>48</v>
      </c>
      <c r="D70" s="198" t="s">
        <v>465</v>
      </c>
      <c r="E70" s="47"/>
      <c r="F70" s="201" t="s">
        <v>466</v>
      </c>
    </row>
    <row r="71">
      <c r="A71" s="200" t="s">
        <v>467</v>
      </c>
      <c r="B71" s="47"/>
      <c r="C71" s="47"/>
      <c r="D71" s="198" t="s">
        <v>468</v>
      </c>
      <c r="E71" s="232" t="s">
        <v>100</v>
      </c>
      <c r="F71" s="47"/>
    </row>
    <row r="72">
      <c r="A72" s="200" t="s">
        <v>469</v>
      </c>
      <c r="B72" s="47"/>
      <c r="C72" s="47"/>
      <c r="D72" s="198" t="s">
        <v>470</v>
      </c>
      <c r="E72" s="201" t="s">
        <v>471</v>
      </c>
      <c r="F72" s="47"/>
    </row>
    <row r="73">
      <c r="A73" s="200" t="s">
        <v>472</v>
      </c>
      <c r="B73" s="47"/>
      <c r="C73" s="51"/>
      <c r="D73" s="47"/>
      <c r="E73" s="47"/>
      <c r="F73" s="47"/>
    </row>
    <row r="74">
      <c r="A74" s="46"/>
      <c r="B74" s="47"/>
      <c r="C74" s="51"/>
      <c r="D74" s="47"/>
      <c r="E74" s="47"/>
      <c r="F74" s="47"/>
    </row>
    <row r="75">
      <c r="A75" s="46"/>
      <c r="B75" s="47"/>
      <c r="C75" s="51"/>
      <c r="D75" s="47"/>
      <c r="E75" s="47"/>
      <c r="F75" s="47"/>
    </row>
    <row r="76">
      <c r="A76" s="46"/>
      <c r="B76" s="47"/>
      <c r="C76" s="51"/>
      <c r="D76" s="51"/>
      <c r="E76" s="51"/>
      <c r="F76" s="47"/>
    </row>
    <row r="77">
      <c r="A77" s="46"/>
      <c r="B77" s="190"/>
      <c r="C77" s="46"/>
      <c r="D77" s="201" t="s">
        <v>361</v>
      </c>
      <c r="E77" s="46"/>
      <c r="F77" s="47"/>
    </row>
    <row r="78">
      <c r="A78" s="46"/>
      <c r="B78" s="46"/>
      <c r="C78" s="46"/>
      <c r="D78" s="201" t="s">
        <v>362</v>
      </c>
      <c r="E78" s="46"/>
      <c r="F78" s="47"/>
    </row>
    <row r="79">
      <c r="A79" s="46"/>
      <c r="B79" s="46"/>
      <c r="C79" s="46"/>
      <c r="D79" s="201" t="s">
        <v>473</v>
      </c>
      <c r="E79" s="46"/>
      <c r="F79" s="47"/>
    </row>
    <row r="80">
      <c r="A80" s="46"/>
      <c r="B80" s="46"/>
      <c r="C80" s="46"/>
      <c r="D80" s="46"/>
      <c r="E80" s="46"/>
      <c r="F80" s="47"/>
    </row>
    <row r="81">
      <c r="A81" s="46"/>
      <c r="B81" s="46"/>
      <c r="C81" s="46"/>
      <c r="D81" s="46"/>
      <c r="E81" s="46"/>
      <c r="F81" s="47"/>
    </row>
    <row r="82">
      <c r="A82" s="201" t="s">
        <v>436</v>
      </c>
      <c r="B82" s="201" t="s">
        <v>436</v>
      </c>
      <c r="C82" s="201" t="s">
        <v>474</v>
      </c>
      <c r="D82" s="201" t="s">
        <v>436</v>
      </c>
      <c r="E82" s="201" t="s">
        <v>436</v>
      </c>
      <c r="F82" s="201" t="s">
        <v>436</v>
      </c>
    </row>
    <row r="83">
      <c r="A83" s="46"/>
      <c r="B83" s="46"/>
      <c r="C83" s="46"/>
      <c r="D83" s="46"/>
      <c r="E83" s="46"/>
      <c r="F83" s="46"/>
    </row>
    <row r="84">
      <c r="A84" s="75"/>
      <c r="B84" s="75"/>
      <c r="C84" s="75"/>
      <c r="D84" s="75"/>
      <c r="E84" s="75"/>
      <c r="F84" s="75"/>
    </row>
    <row r="85">
      <c r="A85" s="10">
        <v>19.0</v>
      </c>
      <c r="B85" s="10">
        <v>20.0</v>
      </c>
      <c r="C85" s="9">
        <v>21.0</v>
      </c>
      <c r="D85" s="10">
        <v>22.0</v>
      </c>
      <c r="E85" s="9">
        <v>23.0</v>
      </c>
      <c r="F85" s="9">
        <v>24.0</v>
      </c>
    </row>
    <row r="86">
      <c r="A86" s="62"/>
      <c r="B86" s="62"/>
      <c r="C86" s="62"/>
      <c r="D86" s="62"/>
      <c r="E86" s="62"/>
      <c r="F86" s="62"/>
    </row>
    <row r="87">
      <c r="A87" s="197" t="s">
        <v>475</v>
      </c>
      <c r="B87" s="205" t="s">
        <v>476</v>
      </c>
      <c r="C87" s="201" t="s">
        <v>10</v>
      </c>
      <c r="D87" s="229" t="s">
        <v>477</v>
      </c>
      <c r="E87" s="200" t="s">
        <v>32</v>
      </c>
      <c r="F87" s="46"/>
    </row>
    <row r="88">
      <c r="A88" s="197" t="s">
        <v>478</v>
      </c>
      <c r="B88" s="201" t="s">
        <v>479</v>
      </c>
      <c r="C88" s="201" t="s">
        <v>17</v>
      </c>
      <c r="D88" s="229" t="s">
        <v>480</v>
      </c>
      <c r="E88" s="200" t="s">
        <v>36</v>
      </c>
      <c r="F88" s="46"/>
    </row>
    <row r="89">
      <c r="A89" s="197" t="s">
        <v>481</v>
      </c>
      <c r="B89" s="201" t="s">
        <v>482</v>
      </c>
      <c r="C89" s="47"/>
      <c r="D89" s="201" t="s">
        <v>483</v>
      </c>
      <c r="E89" s="47"/>
      <c r="F89" s="46"/>
    </row>
    <row r="90">
      <c r="A90" s="47"/>
      <c r="B90" s="47"/>
      <c r="C90" s="47"/>
      <c r="D90" s="47"/>
      <c r="E90" s="47"/>
      <c r="F90" s="46"/>
    </row>
    <row r="91">
      <c r="A91" s="47"/>
      <c r="B91" s="47"/>
      <c r="C91" s="201" t="s">
        <v>350</v>
      </c>
      <c r="E91" s="47"/>
      <c r="F91" s="46"/>
    </row>
    <row r="92">
      <c r="A92" s="198" t="s">
        <v>484</v>
      </c>
      <c r="B92" s="47"/>
      <c r="C92" s="201" t="s">
        <v>352</v>
      </c>
      <c r="D92" s="232" t="s">
        <v>100</v>
      </c>
      <c r="E92" s="201" t="s">
        <v>353</v>
      </c>
      <c r="F92" s="46"/>
    </row>
    <row r="93">
      <c r="A93" s="201" t="s">
        <v>485</v>
      </c>
      <c r="B93" s="201" t="s">
        <v>486</v>
      </c>
      <c r="C93" s="47"/>
      <c r="D93" s="232" t="s">
        <v>103</v>
      </c>
      <c r="E93" s="201" t="s">
        <v>12</v>
      </c>
      <c r="F93" s="46"/>
    </row>
    <row r="94">
      <c r="A94" s="47"/>
      <c r="B94" s="201" t="s">
        <v>487</v>
      </c>
      <c r="C94" s="47"/>
      <c r="D94" s="47"/>
      <c r="E94" s="47"/>
      <c r="F94" s="46"/>
    </row>
    <row r="95">
      <c r="A95" s="47"/>
      <c r="B95" s="47"/>
      <c r="C95" s="47"/>
      <c r="D95" s="47"/>
      <c r="E95" s="47"/>
      <c r="F95" s="46"/>
    </row>
    <row r="96">
      <c r="A96" s="47"/>
      <c r="B96" s="47"/>
      <c r="C96" s="47"/>
      <c r="D96" s="198" t="s">
        <v>488</v>
      </c>
      <c r="E96" s="47"/>
      <c r="F96" s="46"/>
    </row>
    <row r="97">
      <c r="A97" s="200" t="s">
        <v>489</v>
      </c>
      <c r="B97" s="47"/>
      <c r="C97" s="47"/>
      <c r="D97" s="198" t="s">
        <v>490</v>
      </c>
      <c r="E97" s="47"/>
      <c r="F97" s="46"/>
    </row>
    <row r="98">
      <c r="A98" s="200" t="s">
        <v>491</v>
      </c>
      <c r="B98" s="47"/>
      <c r="C98" s="47"/>
      <c r="D98" s="198" t="s">
        <v>492</v>
      </c>
      <c r="E98" s="47"/>
      <c r="F98" s="46"/>
    </row>
    <row r="99">
      <c r="A99" s="200" t="s">
        <v>493</v>
      </c>
      <c r="B99" s="47"/>
      <c r="C99" s="47"/>
      <c r="D99" s="47"/>
      <c r="E99" s="47"/>
      <c r="F99" s="46"/>
    </row>
    <row r="100">
      <c r="A100" s="46"/>
      <c r="B100" s="47"/>
      <c r="C100" s="47"/>
      <c r="D100" s="47"/>
      <c r="E100" s="47"/>
      <c r="F100" s="46"/>
    </row>
    <row r="101">
      <c r="A101" s="46"/>
      <c r="B101" s="47"/>
      <c r="C101" s="47"/>
      <c r="D101" s="202" t="s">
        <v>359</v>
      </c>
      <c r="E101" s="47"/>
      <c r="F101" s="46"/>
    </row>
    <row r="102">
      <c r="A102" s="46"/>
      <c r="B102" s="47"/>
      <c r="C102" s="51"/>
      <c r="D102" s="202" t="s">
        <v>360</v>
      </c>
      <c r="E102" s="51"/>
      <c r="F102" s="46"/>
    </row>
    <row r="103">
      <c r="A103" s="201" t="s">
        <v>361</v>
      </c>
      <c r="B103" s="190"/>
      <c r="C103" s="46"/>
      <c r="D103" s="46"/>
      <c r="E103" s="46"/>
      <c r="F103" s="46"/>
    </row>
    <row r="104">
      <c r="A104" s="201" t="s">
        <v>362</v>
      </c>
      <c r="B104" s="46"/>
      <c r="C104" s="46"/>
      <c r="D104" s="46"/>
      <c r="E104" s="46"/>
      <c r="F104" s="46"/>
    </row>
    <row r="105">
      <c r="A105" s="51"/>
      <c r="B105" s="46"/>
      <c r="C105" s="46"/>
      <c r="D105" s="46"/>
      <c r="E105" s="46"/>
      <c r="F105" s="46"/>
    </row>
    <row r="106">
      <c r="A106" s="51"/>
      <c r="B106" s="51"/>
      <c r="C106" s="51"/>
      <c r="D106" s="51"/>
      <c r="E106" s="51"/>
      <c r="F106" s="51"/>
    </row>
    <row r="107">
      <c r="A107" s="75"/>
      <c r="B107" s="75"/>
      <c r="C107" s="75"/>
      <c r="D107" s="75"/>
      <c r="E107" s="75"/>
      <c r="F107" s="75"/>
    </row>
    <row r="108">
      <c r="A108" s="10">
        <v>26.0</v>
      </c>
      <c r="B108" s="10">
        <v>27.0</v>
      </c>
      <c r="C108" s="9">
        <v>28.0</v>
      </c>
      <c r="D108" s="10">
        <v>29.0</v>
      </c>
      <c r="E108" s="9">
        <v>30.0</v>
      </c>
      <c r="F108" s="9">
        <v>31.0</v>
      </c>
    </row>
    <row r="109">
      <c r="D109" s="62"/>
      <c r="E109" s="208" t="s">
        <v>494</v>
      </c>
      <c r="F109" s="208" t="s">
        <v>495</v>
      </c>
    </row>
    <row r="110">
      <c r="A110" s="62"/>
      <c r="B110" s="62"/>
      <c r="C110" s="62"/>
      <c r="D110" s="62"/>
      <c r="E110" s="62"/>
      <c r="F110" s="62"/>
    </row>
    <row r="111">
      <c r="A111" s="197" t="s">
        <v>496</v>
      </c>
      <c r="B111" s="201" t="s">
        <v>497</v>
      </c>
      <c r="C111" s="201" t="s">
        <v>10</v>
      </c>
      <c r="D111" s="229" t="s">
        <v>498</v>
      </c>
      <c r="F111" s="62"/>
    </row>
    <row r="112">
      <c r="A112" s="197" t="s">
        <v>499</v>
      </c>
      <c r="B112" s="201" t="s">
        <v>500</v>
      </c>
      <c r="C112" s="201" t="s">
        <v>17</v>
      </c>
      <c r="D112" s="229" t="s">
        <v>501</v>
      </c>
      <c r="E112" s="47"/>
      <c r="F112" s="62"/>
    </row>
    <row r="113">
      <c r="A113" s="197" t="s">
        <v>502</v>
      </c>
      <c r="B113" s="201" t="s">
        <v>503</v>
      </c>
      <c r="C113" s="47"/>
      <c r="D113" s="201" t="s">
        <v>504</v>
      </c>
      <c r="E113" s="47"/>
      <c r="F113" s="62"/>
    </row>
    <row r="114">
      <c r="A114" s="47"/>
      <c r="B114" s="47"/>
      <c r="C114" s="47"/>
      <c r="D114" s="47"/>
      <c r="E114" s="47"/>
      <c r="F114" s="62"/>
    </row>
    <row r="115">
      <c r="A115" s="47"/>
      <c r="B115" s="47"/>
      <c r="C115" s="201" t="s">
        <v>350</v>
      </c>
      <c r="E115" s="47"/>
      <c r="F115" s="62"/>
    </row>
    <row r="116">
      <c r="A116" s="198" t="s">
        <v>505</v>
      </c>
      <c r="B116" s="47"/>
      <c r="C116" s="201" t="s">
        <v>352</v>
      </c>
      <c r="D116" s="44"/>
      <c r="E116" s="47"/>
      <c r="F116" s="62"/>
    </row>
    <row r="117">
      <c r="A117" s="198" t="s">
        <v>506</v>
      </c>
      <c r="B117" s="201" t="s">
        <v>507</v>
      </c>
      <c r="C117" s="44"/>
      <c r="D117" s="44"/>
      <c r="E117" s="47"/>
      <c r="F117" s="62"/>
    </row>
    <row r="118">
      <c r="A118" s="47"/>
      <c r="B118" s="201" t="s">
        <v>508</v>
      </c>
      <c r="C118" s="201" t="s">
        <v>284</v>
      </c>
      <c r="D118" s="47"/>
      <c r="E118" s="47"/>
      <c r="F118" s="62"/>
    </row>
    <row r="119">
      <c r="A119" s="47"/>
      <c r="B119" s="47"/>
      <c r="C119" s="202" t="s">
        <v>129</v>
      </c>
      <c r="D119" s="47"/>
      <c r="E119" s="47"/>
      <c r="F119" s="62"/>
    </row>
    <row r="120">
      <c r="A120" s="47"/>
      <c r="B120" s="47"/>
      <c r="C120" s="202" t="s">
        <v>48</v>
      </c>
      <c r="D120" s="198" t="s">
        <v>509</v>
      </c>
      <c r="E120" s="201" t="s">
        <v>510</v>
      </c>
      <c r="F120" s="62"/>
    </row>
    <row r="121">
      <c r="A121" s="200" t="s">
        <v>511</v>
      </c>
      <c r="B121" s="47"/>
      <c r="C121" s="47"/>
      <c r="D121" s="198" t="s">
        <v>512</v>
      </c>
      <c r="E121" s="47"/>
      <c r="F121" s="62"/>
    </row>
    <row r="122">
      <c r="A122" s="200" t="s">
        <v>513</v>
      </c>
      <c r="B122" s="47"/>
      <c r="C122" s="47"/>
      <c r="D122" s="198" t="s">
        <v>514</v>
      </c>
      <c r="E122" s="47"/>
      <c r="F122" s="62"/>
    </row>
    <row r="123">
      <c r="A123" s="200" t="s">
        <v>515</v>
      </c>
      <c r="B123" s="47"/>
      <c r="C123" s="47"/>
      <c r="D123" s="47"/>
      <c r="E123" s="47"/>
      <c r="F123" s="62"/>
    </row>
    <row r="124">
      <c r="A124" s="46"/>
      <c r="B124" s="47"/>
      <c r="C124" s="47"/>
      <c r="D124" s="47"/>
      <c r="E124" s="47"/>
      <c r="F124" s="62"/>
    </row>
    <row r="125">
      <c r="A125" s="46"/>
      <c r="B125" s="47"/>
      <c r="C125" s="47"/>
      <c r="D125" s="47"/>
      <c r="E125" s="47"/>
      <c r="F125" s="62"/>
    </row>
    <row r="126">
      <c r="A126" s="46"/>
      <c r="B126" s="47"/>
      <c r="C126" s="51"/>
      <c r="D126" s="51"/>
      <c r="E126" s="51"/>
      <c r="F126" s="62"/>
    </row>
    <row r="127">
      <c r="A127" s="201" t="s">
        <v>361</v>
      </c>
      <c r="B127" s="190"/>
      <c r="C127" s="46"/>
      <c r="D127" s="46"/>
      <c r="E127" s="46"/>
      <c r="F127" s="62"/>
    </row>
    <row r="128">
      <c r="A128" s="201" t="s">
        <v>362</v>
      </c>
      <c r="B128" s="46"/>
      <c r="C128" s="46"/>
      <c r="D128" s="46"/>
      <c r="E128" s="46"/>
      <c r="F128" s="62"/>
    </row>
    <row r="129">
      <c r="A129" s="47"/>
      <c r="B129" s="46"/>
      <c r="C129" s="46"/>
      <c r="D129" s="46"/>
      <c r="E129" s="46"/>
      <c r="F129" s="62"/>
    </row>
    <row r="130">
      <c r="A130" s="46"/>
      <c r="B130" s="46"/>
      <c r="C130" s="46"/>
      <c r="D130" s="46"/>
      <c r="E130" s="46"/>
      <c r="F130" s="46"/>
    </row>
    <row r="131">
      <c r="A131" s="75"/>
      <c r="B131" s="75"/>
      <c r="C131" s="75"/>
      <c r="D131" s="75"/>
      <c r="E131" s="75"/>
      <c r="F131" s="75"/>
    </row>
  </sheetData>
  <mergeCells count="2">
    <mergeCell ref="A1:F1"/>
    <mergeCell ref="D5:F5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29.71"/>
    <col customWidth="1" min="3" max="3" width="28.71"/>
    <col customWidth="1" min="4" max="4" width="27.14"/>
    <col customWidth="1" min="5" max="6" width="32.43"/>
    <col customWidth="1" min="7" max="7" width="9.57"/>
    <col customWidth="1" min="8" max="8" width="4.29"/>
    <col customWidth="1" min="9" max="9" width="7.43"/>
    <col customWidth="1" min="10" max="10" width="4.29"/>
  </cols>
  <sheetData>
    <row r="1">
      <c r="A1" s="1">
        <v>45748.0</v>
      </c>
      <c r="B1" s="2"/>
      <c r="C1" s="2"/>
      <c r="D1" s="2"/>
      <c r="E1" s="2"/>
      <c r="F1" s="3"/>
    </row>
    <row r="2">
      <c r="A2" s="136" t="s">
        <v>516</v>
      </c>
      <c r="B2" s="137" t="s">
        <v>517</v>
      </c>
      <c r="C2" s="5" t="s">
        <v>518</v>
      </c>
      <c r="D2" s="5" t="s">
        <v>519</v>
      </c>
      <c r="E2" s="6" t="s">
        <v>520</v>
      </c>
      <c r="F2" s="7" t="s">
        <v>5</v>
      </c>
    </row>
    <row r="3">
      <c r="A3" s="140"/>
      <c r="B3" s="140">
        <v>1.0</v>
      </c>
      <c r="C3" s="140">
        <v>2.0</v>
      </c>
      <c r="D3" s="76">
        <v>3.0</v>
      </c>
      <c r="E3" s="8">
        <v>4.0</v>
      </c>
      <c r="F3" s="8">
        <v>5.0</v>
      </c>
      <c r="G3" s="11" t="s">
        <v>344</v>
      </c>
      <c r="H3" s="12">
        <f>COUNTIF($A:$F, "*진로취업*")</f>
        <v>16</v>
      </c>
      <c r="I3" s="13" t="s">
        <v>7</v>
      </c>
      <c r="J3" s="12">
        <f>COUNTIF($A:$F, "*강 진*")</f>
        <v>6</v>
      </c>
    </row>
    <row r="4">
      <c r="A4" s="47"/>
      <c r="B4" s="55"/>
      <c r="C4" s="55"/>
      <c r="D4" s="55"/>
      <c r="E4" s="55"/>
      <c r="F4" s="47"/>
      <c r="G4" s="11" t="s">
        <v>13</v>
      </c>
      <c r="H4" s="12">
        <f>COUNTIF($A:$F, "*서류면접*")</f>
        <v>65</v>
      </c>
      <c r="I4" s="20" t="s">
        <v>14</v>
      </c>
      <c r="J4" s="12">
        <f>COUNTIF($A:$F, "*김나영*")</f>
        <v>9</v>
      </c>
    </row>
    <row r="5">
      <c r="A5" s="47"/>
      <c r="B5" s="205" t="s">
        <v>521</v>
      </c>
      <c r="C5" s="201" t="s">
        <v>10</v>
      </c>
      <c r="D5" s="229" t="s">
        <v>522</v>
      </c>
      <c r="E5" s="200" t="s">
        <v>32</v>
      </c>
      <c r="F5" s="197" t="s">
        <v>433</v>
      </c>
      <c r="G5" s="11" t="s">
        <v>20</v>
      </c>
      <c r="H5" s="12">
        <f>COUNTIF($A:$F, "*공기업*")</f>
        <v>5</v>
      </c>
      <c r="I5" s="20" t="s">
        <v>21</v>
      </c>
      <c r="J5" s="12">
        <f>COUNTIF($A:$F, "*김미령*")</f>
        <v>0</v>
      </c>
    </row>
    <row r="6">
      <c r="A6" s="47"/>
      <c r="B6" s="201" t="s">
        <v>523</v>
      </c>
      <c r="C6" s="201" t="s">
        <v>17</v>
      </c>
      <c r="D6" s="229" t="s">
        <v>524</v>
      </c>
      <c r="E6" s="200" t="s">
        <v>36</v>
      </c>
      <c r="F6" s="197" t="s">
        <v>92</v>
      </c>
      <c r="G6" s="11" t="s">
        <v>22</v>
      </c>
      <c r="H6" s="12">
        <f>COUNTIF($A:$F, "*외국계*")</f>
        <v>5</v>
      </c>
      <c r="I6" s="20" t="s">
        <v>23</v>
      </c>
      <c r="J6" s="12">
        <f>COUNTIF($A:$F, "*김민경*")</f>
        <v>8</v>
      </c>
    </row>
    <row r="7">
      <c r="A7" s="47"/>
      <c r="B7" s="201" t="s">
        <v>525</v>
      </c>
      <c r="C7" s="47"/>
      <c r="D7" s="201" t="s">
        <v>526</v>
      </c>
      <c r="E7" s="47"/>
      <c r="F7" s="47"/>
      <c r="G7" s="11" t="s">
        <v>25</v>
      </c>
      <c r="H7" s="12">
        <f>COUNTIF($A:$F, "*이공계*")</f>
        <v>15</v>
      </c>
      <c r="I7" s="20" t="s">
        <v>26</v>
      </c>
      <c r="J7" s="12">
        <f>COUNTIF($A:$F, "*김선화*")</f>
        <v>6</v>
      </c>
    </row>
    <row r="8">
      <c r="A8" s="47"/>
      <c r="B8" s="47"/>
      <c r="C8" s="47"/>
      <c r="D8" s="47"/>
      <c r="E8" s="47"/>
      <c r="F8" s="47"/>
      <c r="G8" s="11" t="s">
        <v>29</v>
      </c>
      <c r="H8" s="12">
        <f>COUNTIF($A:$F, "*콘텐츠*")</f>
        <v>6</v>
      </c>
      <c r="I8" s="20" t="s">
        <v>30</v>
      </c>
      <c r="J8" s="12">
        <f>COUNTIF($A:$F, "*김세희*")</f>
        <v>6</v>
      </c>
    </row>
    <row r="9">
      <c r="A9" s="47"/>
      <c r="B9" s="47"/>
      <c r="C9" s="205" t="s">
        <v>443</v>
      </c>
      <c r="E9" s="47"/>
      <c r="F9" s="47"/>
      <c r="G9" s="11" t="s">
        <v>33</v>
      </c>
      <c r="H9" s="12">
        <f>COUNTIF($A:$F, "*금융*")</f>
        <v>0</v>
      </c>
      <c r="I9" s="20" t="s">
        <v>34</v>
      </c>
      <c r="J9" s="12">
        <f>COUNTIF($A:$F, "*김지현*")</f>
        <v>6</v>
      </c>
    </row>
    <row r="10">
      <c r="A10" s="47"/>
      <c r="B10" s="47"/>
      <c r="C10" s="201" t="s">
        <v>352</v>
      </c>
      <c r="D10" s="232" t="s">
        <v>100</v>
      </c>
      <c r="E10" s="201" t="s">
        <v>353</v>
      </c>
      <c r="F10" s="47"/>
      <c r="G10" s="34" t="s">
        <v>37</v>
      </c>
      <c r="H10" s="12">
        <f>COUNTIF($A:$F, "*IT*")</f>
        <v>0</v>
      </c>
      <c r="I10" s="20" t="s">
        <v>38</v>
      </c>
      <c r="J10" s="12">
        <f>COUNTIF($A:$F, "*범하나*")</f>
        <v>9</v>
      </c>
    </row>
    <row r="11">
      <c r="A11" s="47"/>
      <c r="B11" s="201" t="s">
        <v>527</v>
      </c>
      <c r="C11" s="47"/>
      <c r="D11" s="232" t="s">
        <v>103</v>
      </c>
      <c r="E11" s="198" t="s">
        <v>528</v>
      </c>
      <c r="F11" s="47"/>
      <c r="G11" s="11" t="s">
        <v>40</v>
      </c>
      <c r="H11" s="12">
        <f>COUNTIF($A:$F, "*임원면접*")</f>
        <v>0</v>
      </c>
      <c r="I11" s="20" t="s">
        <v>41</v>
      </c>
      <c r="J11" s="12">
        <f>COUNTIF($A:$F, "*성지우*")</f>
        <v>2</v>
      </c>
    </row>
    <row r="12">
      <c r="A12" s="47"/>
      <c r="B12" s="201" t="s">
        <v>529</v>
      </c>
      <c r="C12" s="47"/>
      <c r="D12" s="47"/>
      <c r="E12" s="47"/>
      <c r="F12" s="47"/>
      <c r="G12" s="37" t="s">
        <v>44</v>
      </c>
      <c r="H12" s="38">
        <f>sum(H3:H11)</f>
        <v>112</v>
      </c>
      <c r="I12" s="20" t="s">
        <v>45</v>
      </c>
      <c r="J12" s="12">
        <f>COUNTIF($A:$F, "*신민이*")</f>
        <v>6</v>
      </c>
    </row>
    <row r="13">
      <c r="A13" s="47"/>
      <c r="B13" s="47"/>
      <c r="C13" s="47"/>
      <c r="D13" s="47"/>
      <c r="E13" s="47"/>
      <c r="F13" s="47"/>
      <c r="I13" s="20" t="s">
        <v>49</v>
      </c>
      <c r="J13" s="12">
        <f>COUNTIF($A:$F, "*심영섭*")</f>
        <v>14</v>
      </c>
    </row>
    <row r="14">
      <c r="A14" s="47"/>
      <c r="B14" s="47"/>
      <c r="D14" s="198" t="s">
        <v>530</v>
      </c>
      <c r="E14" s="47"/>
      <c r="F14" s="201" t="s">
        <v>67</v>
      </c>
      <c r="I14" s="20" t="s">
        <v>52</v>
      </c>
      <c r="J14" s="12">
        <f>COUNTIF($A:$F, "*양우석*")</f>
        <v>0</v>
      </c>
    </row>
    <row r="15">
      <c r="A15" s="47"/>
      <c r="B15" s="47"/>
      <c r="C15" s="47"/>
      <c r="D15" s="198" t="s">
        <v>531</v>
      </c>
      <c r="E15" s="47"/>
      <c r="F15" s="201" t="s">
        <v>31</v>
      </c>
      <c r="I15" s="20" t="s">
        <v>53</v>
      </c>
      <c r="J15" s="12">
        <f>COUNTIF($A:$F, "*이상환*")</f>
        <v>6</v>
      </c>
    </row>
    <row r="16">
      <c r="A16" s="47"/>
      <c r="B16" s="47"/>
      <c r="C16" s="47"/>
      <c r="D16" s="198" t="s">
        <v>532</v>
      </c>
      <c r="E16" s="47"/>
      <c r="F16" s="47"/>
      <c r="I16" s="20" t="s">
        <v>55</v>
      </c>
      <c r="J16" s="12">
        <f>COUNTIF($A:$F, "*이주환*")</f>
        <v>0</v>
      </c>
    </row>
    <row r="17">
      <c r="A17" s="47"/>
      <c r="B17" s="47"/>
      <c r="C17" s="47"/>
      <c r="D17" s="47"/>
      <c r="E17" s="47"/>
      <c r="F17" s="47"/>
      <c r="I17" s="20" t="s">
        <v>57</v>
      </c>
      <c r="J17" s="12">
        <f>COUNTIF($A:$F, "*이하영*")</f>
        <v>0</v>
      </c>
    </row>
    <row r="18">
      <c r="A18" s="47"/>
      <c r="B18" s="190"/>
      <c r="C18" s="47"/>
      <c r="D18" s="46"/>
      <c r="E18" s="47"/>
      <c r="F18" s="47"/>
      <c r="I18" s="20" t="s">
        <v>58</v>
      </c>
      <c r="J18" s="12">
        <f>COUNTIF($A:$F, "*이효숙*")</f>
        <v>0</v>
      </c>
    </row>
    <row r="19">
      <c r="A19" s="47"/>
      <c r="B19" s="190"/>
      <c r="C19" s="47"/>
      <c r="D19" s="202" t="s">
        <v>360</v>
      </c>
      <c r="E19" s="47"/>
      <c r="F19" s="47"/>
      <c r="I19" s="20" t="s">
        <v>59</v>
      </c>
      <c r="J19" s="12">
        <f>COUNTIF($A:$F, "*이희영*")</f>
        <v>8</v>
      </c>
    </row>
    <row r="20">
      <c r="A20" s="47"/>
      <c r="B20" s="190"/>
      <c r="C20" s="46"/>
      <c r="D20" s="46"/>
      <c r="E20" s="46"/>
      <c r="F20" s="47"/>
      <c r="I20" s="20" t="s">
        <v>60</v>
      </c>
      <c r="J20" s="12">
        <f>COUNTIF($A:$F, "*장신혜*")</f>
        <v>6</v>
      </c>
    </row>
    <row r="21">
      <c r="A21" s="47"/>
      <c r="B21" s="190"/>
      <c r="C21" s="46"/>
      <c r="D21" s="46"/>
      <c r="E21" s="46"/>
      <c r="F21" s="47"/>
      <c r="I21" s="20" t="s">
        <v>61</v>
      </c>
      <c r="J21" s="12">
        <f>COUNTIF($A:$F, "*정지선*")</f>
        <v>11</v>
      </c>
    </row>
    <row r="22">
      <c r="A22" s="190"/>
      <c r="B22" s="190"/>
      <c r="C22" s="46"/>
      <c r="D22" s="46"/>
      <c r="E22" s="46"/>
      <c r="F22" s="47"/>
      <c r="I22" s="20" t="s">
        <v>62</v>
      </c>
      <c r="J22" s="12">
        <f>COUNTIF($A:$F, "*지명선*")</f>
        <v>3</v>
      </c>
    </row>
    <row r="23">
      <c r="A23" s="190"/>
      <c r="B23" s="190"/>
      <c r="C23" s="46"/>
      <c r="D23" s="46"/>
      <c r="E23" s="46"/>
      <c r="F23" s="47"/>
      <c r="I23" s="20" t="s">
        <v>63</v>
      </c>
      <c r="J23" s="12">
        <f>COUNTIF($A:$F, "*최은주*")</f>
        <v>0</v>
      </c>
    </row>
    <row r="24">
      <c r="A24" s="46"/>
      <c r="B24" s="46"/>
      <c r="C24" s="46"/>
      <c r="D24" s="46"/>
      <c r="E24" s="46"/>
      <c r="F24" s="47"/>
      <c r="I24" s="20" t="s">
        <v>65</v>
      </c>
      <c r="J24" s="12">
        <f>COUNTIF($A:$F, "*한 나*")</f>
        <v>6</v>
      </c>
    </row>
    <row r="25">
      <c r="A25" s="75"/>
      <c r="B25" s="75"/>
      <c r="C25" s="75"/>
      <c r="D25" s="75"/>
      <c r="E25" s="75"/>
      <c r="F25" s="75"/>
      <c r="I25" s="20" t="s">
        <v>66</v>
      </c>
      <c r="J25" s="12">
        <f>COUNTIF($A:$F, "*민현정*")</f>
        <v>0</v>
      </c>
    </row>
    <row r="26">
      <c r="A26" s="8">
        <v>7.0</v>
      </c>
      <c r="B26" s="8">
        <v>8.0</v>
      </c>
      <c r="C26" s="8">
        <v>9.0</v>
      </c>
      <c r="D26" s="233">
        <v>10.0</v>
      </c>
      <c r="E26" s="9">
        <v>11.0</v>
      </c>
      <c r="F26" s="9">
        <v>12.0</v>
      </c>
      <c r="I26" s="54" t="s">
        <v>44</v>
      </c>
      <c r="J26" s="38">
        <f>sum(J3:J25)</f>
        <v>112</v>
      </c>
    </row>
    <row r="27">
      <c r="A27" s="51"/>
      <c r="B27" s="51"/>
      <c r="C27" s="64"/>
      <c r="D27" s="47"/>
      <c r="E27" s="51"/>
      <c r="F27" s="47"/>
    </row>
    <row r="28">
      <c r="A28" s="197" t="s">
        <v>533</v>
      </c>
      <c r="B28" s="201" t="s">
        <v>534</v>
      </c>
      <c r="C28" s="201" t="s">
        <v>10</v>
      </c>
      <c r="D28" s="229" t="s">
        <v>535</v>
      </c>
      <c r="E28" s="200" t="s">
        <v>32</v>
      </c>
      <c r="F28" s="197" t="s">
        <v>433</v>
      </c>
    </row>
    <row r="29">
      <c r="A29" s="197" t="s">
        <v>536</v>
      </c>
      <c r="B29" s="201" t="s">
        <v>537</v>
      </c>
      <c r="C29" s="201" t="s">
        <v>17</v>
      </c>
      <c r="D29" s="229" t="s">
        <v>538</v>
      </c>
      <c r="E29" s="200" t="s">
        <v>36</v>
      </c>
      <c r="F29" s="197" t="s">
        <v>92</v>
      </c>
    </row>
    <row r="30">
      <c r="A30" s="197" t="s">
        <v>539</v>
      </c>
      <c r="B30" s="201" t="s">
        <v>540</v>
      </c>
      <c r="C30" s="47"/>
      <c r="D30" s="201" t="s">
        <v>541</v>
      </c>
      <c r="E30" s="47"/>
      <c r="F30" s="47"/>
    </row>
    <row r="31">
      <c r="A31" s="47"/>
      <c r="B31" s="47"/>
      <c r="C31" s="47"/>
      <c r="D31" s="47"/>
      <c r="E31" s="47"/>
      <c r="F31" s="47"/>
    </row>
    <row r="32">
      <c r="A32" s="47"/>
      <c r="B32" s="47"/>
      <c r="C32" s="47"/>
      <c r="E32" s="47"/>
      <c r="F32" s="47"/>
    </row>
    <row r="33">
      <c r="A33" s="198" t="s">
        <v>542</v>
      </c>
      <c r="B33" s="47"/>
      <c r="D33" s="232" t="s">
        <v>100</v>
      </c>
      <c r="E33" s="201" t="s">
        <v>353</v>
      </c>
      <c r="F33" s="47"/>
    </row>
    <row r="34">
      <c r="A34" s="198" t="s">
        <v>543</v>
      </c>
      <c r="B34" s="201" t="s">
        <v>544</v>
      </c>
      <c r="C34" s="47"/>
      <c r="D34" s="232" t="s">
        <v>103</v>
      </c>
      <c r="E34" s="201" t="s">
        <v>12</v>
      </c>
      <c r="F34" s="47"/>
    </row>
    <row r="35">
      <c r="A35" s="47"/>
      <c r="B35" s="201" t="s">
        <v>545</v>
      </c>
      <c r="C35" s="47"/>
      <c r="D35" s="47"/>
      <c r="E35" s="47"/>
      <c r="F35" s="47"/>
    </row>
    <row r="36">
      <c r="A36" s="47"/>
      <c r="B36" s="47"/>
      <c r="C36" s="202" t="s">
        <v>129</v>
      </c>
      <c r="D36" s="47"/>
      <c r="E36" s="47"/>
      <c r="F36" s="47"/>
    </row>
    <row r="37">
      <c r="A37" s="47"/>
      <c r="B37" s="47"/>
      <c r="C37" s="202" t="s">
        <v>48</v>
      </c>
      <c r="D37" s="198" t="s">
        <v>546</v>
      </c>
      <c r="E37" s="205" t="s">
        <v>443</v>
      </c>
      <c r="F37" s="47"/>
    </row>
    <row r="38">
      <c r="A38" s="200" t="s">
        <v>547</v>
      </c>
      <c r="B38" s="201" t="s">
        <v>350</v>
      </c>
      <c r="C38" s="47"/>
      <c r="D38" s="198" t="s">
        <v>548</v>
      </c>
      <c r="E38" s="201" t="s">
        <v>352</v>
      </c>
      <c r="F38" s="47"/>
    </row>
    <row r="39">
      <c r="A39" s="200" t="s">
        <v>549</v>
      </c>
      <c r="B39" s="201" t="s">
        <v>352</v>
      </c>
      <c r="C39" s="47"/>
      <c r="D39" s="198" t="s">
        <v>550</v>
      </c>
      <c r="E39" s="47"/>
      <c r="F39" s="47"/>
    </row>
    <row r="40">
      <c r="A40" s="200" t="s">
        <v>551</v>
      </c>
      <c r="B40" s="47"/>
      <c r="C40" s="47"/>
      <c r="D40" s="47"/>
      <c r="E40" s="47"/>
      <c r="F40" s="47"/>
    </row>
    <row r="41">
      <c r="A41" s="46"/>
      <c r="B41" s="47"/>
      <c r="C41" s="47"/>
      <c r="D41" s="47"/>
      <c r="E41" s="47"/>
      <c r="F41" s="201" t="s">
        <v>458</v>
      </c>
    </row>
    <row r="42">
      <c r="A42" s="46"/>
      <c r="B42" s="47"/>
      <c r="C42" s="47"/>
      <c r="D42" s="47"/>
      <c r="E42" s="47"/>
      <c r="F42" s="201" t="s">
        <v>460</v>
      </c>
    </row>
    <row r="43">
      <c r="A43" s="46"/>
      <c r="B43" s="47"/>
      <c r="C43" s="51"/>
      <c r="D43" s="51"/>
      <c r="E43" s="51"/>
      <c r="F43" s="46"/>
    </row>
    <row r="44">
      <c r="A44" s="46"/>
      <c r="B44" s="190"/>
      <c r="C44" s="201" t="s">
        <v>361</v>
      </c>
      <c r="D44" s="46"/>
      <c r="E44" s="46"/>
      <c r="F44" s="47"/>
    </row>
    <row r="45">
      <c r="A45" s="46"/>
      <c r="B45" s="46"/>
      <c r="C45" s="201" t="s">
        <v>362</v>
      </c>
      <c r="D45" s="46"/>
      <c r="E45" s="46"/>
      <c r="F45" s="47"/>
    </row>
    <row r="46">
      <c r="A46" s="47"/>
      <c r="B46" s="46"/>
      <c r="C46" s="46"/>
      <c r="D46" s="46"/>
      <c r="E46" s="46"/>
      <c r="F46" s="47"/>
    </row>
    <row r="47">
      <c r="A47" s="190"/>
      <c r="B47" s="47"/>
      <c r="C47" s="47"/>
      <c r="D47" s="47"/>
      <c r="E47" s="47"/>
      <c r="F47" s="47"/>
    </row>
    <row r="48">
      <c r="A48" s="51"/>
      <c r="B48" s="51"/>
      <c r="C48" s="51"/>
      <c r="D48" s="51"/>
      <c r="E48" s="75"/>
      <c r="F48" s="75"/>
    </row>
    <row r="49">
      <c r="A49" s="174">
        <v>14.0</v>
      </c>
      <c r="B49" s="174">
        <v>15.0</v>
      </c>
      <c r="C49" s="9">
        <v>16.0</v>
      </c>
      <c r="D49" s="97">
        <v>17.0</v>
      </c>
      <c r="E49" s="9">
        <v>18.0</v>
      </c>
      <c r="F49" s="9">
        <v>19.0</v>
      </c>
    </row>
    <row r="50">
      <c r="A50" s="47"/>
      <c r="B50" s="47"/>
      <c r="C50" s="47"/>
      <c r="D50" s="47"/>
      <c r="E50" s="47"/>
      <c r="F50" s="47"/>
    </row>
    <row r="51">
      <c r="A51" s="197" t="s">
        <v>552</v>
      </c>
      <c r="B51" s="205" t="s">
        <v>553</v>
      </c>
      <c r="C51" s="201" t="s">
        <v>10</v>
      </c>
      <c r="D51" s="229" t="s">
        <v>554</v>
      </c>
      <c r="E51" s="200" t="s">
        <v>32</v>
      </c>
      <c r="F51" s="197" t="s">
        <v>433</v>
      </c>
    </row>
    <row r="52">
      <c r="A52" s="197" t="s">
        <v>555</v>
      </c>
      <c r="B52" s="201" t="s">
        <v>556</v>
      </c>
      <c r="C52" s="201" t="s">
        <v>17</v>
      </c>
      <c r="D52" s="229" t="s">
        <v>557</v>
      </c>
      <c r="E52" s="200" t="s">
        <v>36</v>
      </c>
      <c r="F52" s="197" t="s">
        <v>92</v>
      </c>
    </row>
    <row r="53">
      <c r="A53" s="197" t="s">
        <v>558</v>
      </c>
      <c r="B53" s="201" t="s">
        <v>559</v>
      </c>
      <c r="C53" s="47"/>
      <c r="D53" s="201" t="s">
        <v>560</v>
      </c>
      <c r="E53" s="47"/>
      <c r="F53" s="47"/>
    </row>
    <row r="54">
      <c r="A54" s="47"/>
      <c r="B54" s="47"/>
      <c r="C54" s="47"/>
      <c r="D54" s="47"/>
      <c r="E54" s="47"/>
      <c r="F54" s="47"/>
    </row>
    <row r="55">
      <c r="A55" s="47"/>
      <c r="B55" s="47"/>
      <c r="E55" s="47"/>
      <c r="F55" s="47"/>
    </row>
    <row r="56">
      <c r="A56" s="198" t="s">
        <v>561</v>
      </c>
      <c r="B56" s="47"/>
      <c r="C56" s="47"/>
      <c r="D56" s="232" t="s">
        <v>100</v>
      </c>
      <c r="E56" s="201" t="s">
        <v>353</v>
      </c>
      <c r="F56" s="47"/>
    </row>
    <row r="57">
      <c r="A57" s="198" t="s">
        <v>562</v>
      </c>
      <c r="B57" s="201" t="s">
        <v>563</v>
      </c>
      <c r="C57" s="201" t="s">
        <v>361</v>
      </c>
      <c r="D57" s="232" t="s">
        <v>103</v>
      </c>
      <c r="E57" s="201" t="s">
        <v>12</v>
      </c>
      <c r="F57" s="47"/>
    </row>
    <row r="58">
      <c r="A58" s="47"/>
      <c r="B58" s="201" t="s">
        <v>564</v>
      </c>
      <c r="C58" s="201" t="s">
        <v>362</v>
      </c>
      <c r="D58" s="47"/>
      <c r="E58" s="47"/>
      <c r="F58" s="47"/>
    </row>
    <row r="59">
      <c r="A59" s="47"/>
      <c r="B59" s="47"/>
      <c r="C59" s="47"/>
      <c r="D59" s="47"/>
      <c r="E59" s="47"/>
      <c r="F59" s="47"/>
    </row>
    <row r="60">
      <c r="A60" s="47"/>
      <c r="B60" s="47"/>
      <c r="C60" s="47"/>
      <c r="D60" s="198" t="s">
        <v>565</v>
      </c>
      <c r="E60" s="47"/>
      <c r="F60" s="47"/>
    </row>
    <row r="61">
      <c r="A61" s="200" t="s">
        <v>566</v>
      </c>
      <c r="B61" s="47"/>
      <c r="C61" s="47"/>
      <c r="D61" s="198" t="s">
        <v>567</v>
      </c>
      <c r="E61" s="47"/>
      <c r="F61" s="47"/>
    </row>
    <row r="62">
      <c r="A62" s="200" t="s">
        <v>568</v>
      </c>
      <c r="B62" s="47"/>
      <c r="C62" s="47"/>
      <c r="D62" s="198" t="s">
        <v>569</v>
      </c>
      <c r="E62" s="47"/>
      <c r="F62" s="47"/>
    </row>
    <row r="63">
      <c r="A63" s="200" t="s">
        <v>570</v>
      </c>
      <c r="B63" s="47"/>
      <c r="C63" s="47"/>
      <c r="D63" s="47"/>
      <c r="E63" s="47"/>
      <c r="F63" s="47"/>
    </row>
    <row r="64">
      <c r="A64" s="46"/>
      <c r="B64" s="47"/>
      <c r="C64" s="47"/>
      <c r="D64" s="47"/>
      <c r="E64" s="47"/>
      <c r="F64" s="47"/>
    </row>
    <row r="65">
      <c r="A65" s="46"/>
      <c r="B65" s="47"/>
      <c r="C65" s="47"/>
      <c r="D65" s="202" t="s">
        <v>359</v>
      </c>
      <c r="E65" s="47"/>
      <c r="F65" s="47"/>
    </row>
    <row r="66">
      <c r="A66" s="47"/>
      <c r="B66" s="47"/>
      <c r="C66" s="51"/>
      <c r="D66" s="202" t="s">
        <v>360</v>
      </c>
      <c r="E66" s="51"/>
      <c r="F66" s="46"/>
    </row>
    <row r="67">
      <c r="A67" s="47"/>
      <c r="B67" s="190"/>
      <c r="C67" s="46"/>
      <c r="D67" s="47"/>
      <c r="E67" s="46"/>
      <c r="F67" s="46"/>
    </row>
    <row r="68">
      <c r="A68" s="47"/>
      <c r="B68" s="46"/>
      <c r="C68" s="46"/>
      <c r="D68" s="46"/>
      <c r="E68" s="46"/>
      <c r="F68" s="201" t="s">
        <v>464</v>
      </c>
    </row>
    <row r="69">
      <c r="A69" s="47"/>
      <c r="B69" s="46"/>
      <c r="C69" s="46"/>
      <c r="D69" s="46"/>
      <c r="E69" s="46"/>
      <c r="F69" s="201" t="s">
        <v>466</v>
      </c>
    </row>
    <row r="70">
      <c r="A70" s="234"/>
      <c r="B70" s="46"/>
      <c r="C70" s="46"/>
      <c r="D70" s="46"/>
      <c r="E70" s="46"/>
      <c r="F70" s="46"/>
    </row>
    <row r="71">
      <c r="A71" s="204"/>
      <c r="B71" s="75"/>
      <c r="C71" s="75"/>
      <c r="D71" s="75"/>
      <c r="E71" s="75"/>
      <c r="F71" s="75"/>
    </row>
    <row r="72">
      <c r="A72" s="97">
        <v>21.0</v>
      </c>
      <c r="B72" s="97">
        <v>22.0</v>
      </c>
      <c r="C72" s="9">
        <v>23.0</v>
      </c>
      <c r="D72" s="10">
        <v>24.0</v>
      </c>
      <c r="E72" s="9">
        <v>25.0</v>
      </c>
      <c r="F72" s="9">
        <v>26.0</v>
      </c>
    </row>
    <row r="73">
      <c r="A73" s="51"/>
      <c r="B73" s="51"/>
      <c r="C73" s="49" t="s">
        <v>221</v>
      </c>
      <c r="D73" s="50"/>
      <c r="E73" s="50"/>
      <c r="F73" s="164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</row>
    <row r="74">
      <c r="A74" s="197" t="s">
        <v>571</v>
      </c>
      <c r="B74" s="205" t="s">
        <v>572</v>
      </c>
      <c r="C74" s="51"/>
      <c r="D74" s="47"/>
      <c r="E74" s="47"/>
      <c r="F74" s="47"/>
    </row>
    <row r="75">
      <c r="A75" s="197" t="s">
        <v>573</v>
      </c>
      <c r="B75" s="201" t="s">
        <v>574</v>
      </c>
      <c r="C75" s="47"/>
      <c r="D75" s="47"/>
      <c r="E75" s="47"/>
      <c r="F75" s="47"/>
    </row>
    <row r="76">
      <c r="A76" s="197" t="s">
        <v>575</v>
      </c>
      <c r="B76" s="201" t="s">
        <v>576</v>
      </c>
      <c r="C76" s="47"/>
      <c r="D76" s="47"/>
      <c r="E76" s="47"/>
      <c r="F76" s="47"/>
    </row>
    <row r="77">
      <c r="A77" s="47"/>
      <c r="B77" s="47"/>
      <c r="C77" s="47"/>
      <c r="D77" s="47"/>
      <c r="E77" s="47"/>
      <c r="F77" s="47"/>
    </row>
    <row r="78">
      <c r="A78" s="47"/>
      <c r="B78" s="47"/>
      <c r="C78" s="47"/>
      <c r="D78" s="47"/>
      <c r="E78" s="47"/>
      <c r="F78" s="47"/>
    </row>
    <row r="79">
      <c r="A79" s="198" t="s">
        <v>577</v>
      </c>
      <c r="B79" s="47"/>
      <c r="C79" s="47"/>
      <c r="D79" s="47"/>
      <c r="E79" s="47"/>
      <c r="F79" s="47"/>
    </row>
    <row r="80">
      <c r="A80" s="198" t="s">
        <v>578</v>
      </c>
      <c r="B80" s="201" t="s">
        <v>579</v>
      </c>
      <c r="C80" s="47"/>
      <c r="D80" s="47"/>
      <c r="E80" s="47"/>
      <c r="F80" s="47"/>
    </row>
    <row r="81">
      <c r="A81" s="47"/>
      <c r="B81" s="201" t="s">
        <v>580</v>
      </c>
      <c r="C81" s="47"/>
      <c r="D81" s="47"/>
      <c r="E81" s="47"/>
      <c r="F81" s="47"/>
    </row>
    <row r="82">
      <c r="A82" s="47"/>
      <c r="B82" s="47"/>
      <c r="C82" s="47"/>
      <c r="D82" s="47"/>
      <c r="E82" s="47"/>
      <c r="F82" s="47"/>
    </row>
    <row r="83">
      <c r="A83" s="47"/>
      <c r="B83" s="47"/>
      <c r="C83" s="47"/>
      <c r="D83" s="47"/>
      <c r="E83" s="47"/>
      <c r="F83" s="47"/>
    </row>
    <row r="84">
      <c r="A84" s="46"/>
      <c r="B84" s="47"/>
      <c r="C84" s="47"/>
      <c r="D84" s="47"/>
      <c r="E84" s="47"/>
      <c r="F84" s="47"/>
    </row>
    <row r="85">
      <c r="A85" s="46"/>
      <c r="B85" s="47"/>
      <c r="C85" s="47"/>
      <c r="D85" s="47"/>
      <c r="E85" s="47"/>
      <c r="F85" s="47"/>
    </row>
    <row r="86">
      <c r="A86" s="46"/>
      <c r="B86" s="47"/>
      <c r="C86" s="47"/>
      <c r="D86" s="47"/>
      <c r="E86" s="47"/>
      <c r="F86" s="47"/>
    </row>
    <row r="87">
      <c r="A87" s="46"/>
      <c r="B87" s="47"/>
      <c r="C87" s="47"/>
      <c r="D87" s="47"/>
      <c r="E87" s="47"/>
      <c r="F87" s="47"/>
    </row>
    <row r="88">
      <c r="A88" s="46"/>
      <c r="B88" s="47"/>
      <c r="C88" s="47"/>
      <c r="D88" s="47"/>
      <c r="E88" s="47"/>
      <c r="F88" s="47"/>
    </row>
    <row r="89">
      <c r="A89" s="46"/>
      <c r="B89" s="47"/>
      <c r="C89" s="47"/>
      <c r="D89" s="47"/>
      <c r="E89" s="47"/>
      <c r="F89" s="47"/>
    </row>
    <row r="90">
      <c r="A90" s="201" t="s">
        <v>361</v>
      </c>
      <c r="B90" s="190"/>
      <c r="C90" s="51"/>
      <c r="D90" s="51"/>
      <c r="E90" s="51"/>
      <c r="F90" s="47"/>
    </row>
    <row r="91">
      <c r="A91" s="201" t="s">
        <v>362</v>
      </c>
      <c r="B91" s="46"/>
      <c r="C91" s="46"/>
      <c r="D91" s="46"/>
      <c r="E91" s="46"/>
      <c r="F91" s="47"/>
    </row>
    <row r="92">
      <c r="A92" s="47"/>
      <c r="B92" s="46"/>
      <c r="C92" s="46"/>
      <c r="D92" s="46"/>
      <c r="E92" s="46"/>
      <c r="F92" s="47"/>
    </row>
    <row r="93">
      <c r="A93" s="190"/>
      <c r="B93" s="47"/>
      <c r="C93" s="47"/>
      <c r="D93" s="47"/>
      <c r="E93" s="47"/>
      <c r="F93" s="47"/>
    </row>
    <row r="94">
      <c r="A94" s="75"/>
      <c r="B94" s="75"/>
      <c r="C94" s="75"/>
      <c r="D94" s="75"/>
      <c r="E94" s="75"/>
      <c r="F94" s="75"/>
    </row>
    <row r="95">
      <c r="A95" s="9">
        <v>28.0</v>
      </c>
      <c r="B95" s="9">
        <v>29.0</v>
      </c>
      <c r="C95" s="9">
        <v>30.0</v>
      </c>
      <c r="D95" s="9"/>
      <c r="E95" s="9"/>
      <c r="F95" s="9"/>
    </row>
    <row r="96">
      <c r="A96" s="49" t="s">
        <v>221</v>
      </c>
      <c r="B96" s="50"/>
      <c r="C96" s="164"/>
      <c r="D96" s="47"/>
      <c r="E96" s="47"/>
      <c r="F96" s="47"/>
    </row>
    <row r="97">
      <c r="A97" s="47"/>
      <c r="B97" s="47"/>
      <c r="C97" s="47"/>
      <c r="D97" s="47"/>
      <c r="E97" s="47"/>
      <c r="F97" s="47"/>
    </row>
    <row r="98">
      <c r="A98" s="47"/>
      <c r="B98" s="47"/>
      <c r="C98" s="47"/>
      <c r="D98" s="47"/>
      <c r="E98" s="47"/>
      <c r="F98" s="47"/>
    </row>
    <row r="99">
      <c r="A99" s="47"/>
      <c r="B99" s="47"/>
      <c r="C99" s="47"/>
      <c r="D99" s="47"/>
      <c r="E99" s="47"/>
      <c r="F99" s="47"/>
    </row>
    <row r="100">
      <c r="A100" s="47"/>
      <c r="B100" s="47"/>
      <c r="C100" s="47"/>
      <c r="D100" s="47"/>
      <c r="E100" s="47"/>
      <c r="F100" s="47"/>
    </row>
    <row r="101">
      <c r="A101" s="47"/>
      <c r="B101" s="47"/>
      <c r="C101" s="47"/>
      <c r="D101" s="47"/>
      <c r="E101" s="47"/>
      <c r="F101" s="47"/>
    </row>
    <row r="102">
      <c r="A102" s="47"/>
      <c r="B102" s="47"/>
      <c r="C102" s="47"/>
      <c r="D102" s="47"/>
      <c r="E102" s="47"/>
      <c r="F102" s="47"/>
    </row>
    <row r="103">
      <c r="A103" s="47"/>
      <c r="B103" s="47"/>
      <c r="C103" s="47"/>
      <c r="D103" s="47"/>
      <c r="E103" s="47"/>
      <c r="F103" s="47"/>
    </row>
    <row r="104">
      <c r="A104" s="47"/>
      <c r="B104" s="47"/>
      <c r="C104" s="47"/>
      <c r="D104" s="47"/>
      <c r="E104" s="47"/>
      <c r="F104" s="47"/>
    </row>
    <row r="105">
      <c r="A105" s="47"/>
      <c r="B105" s="47"/>
      <c r="C105" s="47"/>
      <c r="D105" s="47"/>
      <c r="E105" s="47"/>
      <c r="F105" s="47"/>
    </row>
    <row r="106">
      <c r="A106" s="47"/>
      <c r="B106" s="47"/>
      <c r="C106" s="47"/>
      <c r="D106" s="47"/>
      <c r="E106" s="47"/>
      <c r="F106" s="47"/>
    </row>
    <row r="107">
      <c r="A107" s="47"/>
      <c r="B107" s="47"/>
      <c r="C107" s="47"/>
      <c r="D107" s="47"/>
      <c r="E107" s="47"/>
      <c r="F107" s="47"/>
    </row>
    <row r="108">
      <c r="A108" s="47"/>
      <c r="B108" s="47"/>
      <c r="C108" s="47"/>
      <c r="D108" s="47"/>
      <c r="E108" s="47"/>
      <c r="F108" s="47"/>
    </row>
    <row r="109">
      <c r="A109" s="47"/>
      <c r="B109" s="47"/>
      <c r="C109" s="47"/>
      <c r="D109" s="47"/>
      <c r="E109" s="47"/>
      <c r="F109" s="47"/>
    </row>
    <row r="110">
      <c r="A110" s="47"/>
      <c r="B110" s="47"/>
      <c r="C110" s="47"/>
      <c r="D110" s="47"/>
      <c r="E110" s="47"/>
      <c r="F110" s="47"/>
    </row>
    <row r="111">
      <c r="A111" s="47"/>
      <c r="B111" s="47"/>
      <c r="C111" s="47"/>
      <c r="D111" s="47"/>
      <c r="E111" s="47"/>
      <c r="F111" s="47"/>
    </row>
    <row r="112">
      <c r="A112" s="47"/>
      <c r="B112" s="47"/>
      <c r="C112" s="47"/>
      <c r="D112" s="47"/>
      <c r="E112" s="47"/>
      <c r="F112" s="47"/>
    </row>
    <row r="113">
      <c r="A113" s="47"/>
      <c r="B113" s="47"/>
      <c r="C113" s="47"/>
      <c r="D113" s="47"/>
      <c r="E113" s="47"/>
      <c r="F113" s="47"/>
    </row>
    <row r="114">
      <c r="A114" s="47"/>
      <c r="B114" s="47"/>
      <c r="C114" s="47"/>
      <c r="D114" s="47"/>
      <c r="E114" s="47"/>
      <c r="F114" s="47"/>
    </row>
    <row r="115">
      <c r="A115" s="47"/>
      <c r="B115" s="47"/>
      <c r="C115" s="47"/>
      <c r="D115" s="46"/>
      <c r="E115" s="46"/>
      <c r="F115" s="46"/>
    </row>
    <row r="116">
      <c r="A116" s="47"/>
      <c r="B116" s="47"/>
      <c r="C116" s="47"/>
      <c r="D116" s="46"/>
      <c r="E116" s="46"/>
      <c r="F116" s="46"/>
    </row>
    <row r="117">
      <c r="A117" s="46"/>
      <c r="B117" s="46"/>
      <c r="C117" s="46"/>
      <c r="D117" s="46"/>
      <c r="E117" s="46"/>
      <c r="F117" s="46"/>
    </row>
    <row r="118">
      <c r="A118" s="75"/>
      <c r="B118" s="75"/>
      <c r="C118" s="75"/>
      <c r="D118" s="75"/>
      <c r="E118" s="75"/>
      <c r="F118" s="75"/>
    </row>
  </sheetData>
  <mergeCells count="3">
    <mergeCell ref="A1:F1"/>
    <mergeCell ref="C73:F73"/>
    <mergeCell ref="A96:C96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27.29"/>
    <col customWidth="1" min="3" max="3" width="26.86"/>
    <col customWidth="1" min="4" max="4" width="28.0"/>
    <col customWidth="1" min="5" max="6" width="32.0"/>
    <col customWidth="1" min="7" max="7" width="9.57"/>
    <col customWidth="1" min="8" max="8" width="4.29"/>
    <col customWidth="1" min="9" max="9" width="7.43"/>
    <col customWidth="1" min="10" max="10" width="4.29"/>
  </cols>
  <sheetData>
    <row r="1">
      <c r="A1" s="1">
        <v>45717.0</v>
      </c>
      <c r="B1" s="2"/>
      <c r="C1" s="2"/>
      <c r="D1" s="2"/>
      <c r="E1" s="2"/>
      <c r="F1" s="3"/>
    </row>
    <row r="2">
      <c r="A2" s="4" t="s">
        <v>581</v>
      </c>
      <c r="B2" s="5" t="s">
        <v>582</v>
      </c>
      <c r="C2" s="5" t="s">
        <v>583</v>
      </c>
      <c r="D2" s="5" t="s">
        <v>584</v>
      </c>
      <c r="E2" s="6" t="s">
        <v>585</v>
      </c>
      <c r="F2" s="7" t="s">
        <v>5</v>
      </c>
    </row>
    <row r="3">
      <c r="A3" s="235"/>
      <c r="B3" s="236"/>
      <c r="C3" s="236"/>
      <c r="D3" s="236"/>
      <c r="E3" s="236"/>
      <c r="F3" s="147">
        <v>1.0</v>
      </c>
      <c r="G3" s="11" t="s">
        <v>344</v>
      </c>
      <c r="H3" s="12">
        <f>COUNTIF($A:$F, "*진로취업*")</f>
        <v>24</v>
      </c>
      <c r="I3" s="13" t="s">
        <v>7</v>
      </c>
      <c r="J3" s="12">
        <f>COUNTIF($A:$F, "*강 진*")</f>
        <v>25</v>
      </c>
    </row>
    <row r="4">
      <c r="A4" s="47"/>
      <c r="B4" s="55"/>
      <c r="C4" s="55"/>
      <c r="D4" s="55"/>
      <c r="E4" s="55"/>
      <c r="F4" s="64" t="s">
        <v>586</v>
      </c>
      <c r="G4" s="11" t="s">
        <v>13</v>
      </c>
      <c r="H4" s="12">
        <f>COUNTIF($A:$F, "*서류면접*")</f>
        <v>134</v>
      </c>
      <c r="I4" s="20" t="s">
        <v>14</v>
      </c>
      <c r="J4" s="12">
        <f>COUNTIF($A:$F, "*김나영*")</f>
        <v>14</v>
      </c>
    </row>
    <row r="5">
      <c r="A5" s="47"/>
      <c r="B5" s="55"/>
      <c r="C5" s="55"/>
      <c r="D5" s="55"/>
      <c r="E5" s="55"/>
      <c r="F5" s="51"/>
      <c r="G5" s="11" t="s">
        <v>20</v>
      </c>
      <c r="H5" s="12">
        <f>COUNTIF($A:$F, "*공기업*")</f>
        <v>5</v>
      </c>
      <c r="I5" s="20" t="s">
        <v>21</v>
      </c>
      <c r="J5" s="12">
        <f>COUNTIF($A:$F, "*김미령*")</f>
        <v>0</v>
      </c>
    </row>
    <row r="6">
      <c r="A6" s="47"/>
      <c r="B6" s="48"/>
      <c r="C6" s="48"/>
      <c r="D6" s="55"/>
      <c r="E6" s="55"/>
      <c r="F6" s="51"/>
      <c r="G6" s="11" t="s">
        <v>22</v>
      </c>
      <c r="H6" s="12">
        <f>COUNTIF($A:$F, "*외국계*")</f>
        <v>10</v>
      </c>
      <c r="I6" s="20" t="s">
        <v>23</v>
      </c>
      <c r="J6" s="12">
        <f>COUNTIF($A:$F, "*김민경*")</f>
        <v>8</v>
      </c>
    </row>
    <row r="7">
      <c r="A7" s="63">
        <v>3.0</v>
      </c>
      <c r="B7" s="9">
        <v>4.0</v>
      </c>
      <c r="C7" s="10">
        <v>5.0</v>
      </c>
      <c r="D7" s="9">
        <v>6.0</v>
      </c>
      <c r="E7" s="9">
        <v>7.0</v>
      </c>
      <c r="F7" s="9">
        <v>8.0</v>
      </c>
      <c r="G7" s="11" t="s">
        <v>25</v>
      </c>
      <c r="H7" s="12">
        <f>COUNTIF($A:$F, "*이공계*")</f>
        <v>28</v>
      </c>
      <c r="I7" s="20" t="s">
        <v>26</v>
      </c>
      <c r="J7" s="12">
        <f>COUNTIF($A:$F, "*김선화*")</f>
        <v>10</v>
      </c>
    </row>
    <row r="8">
      <c r="A8" s="210" t="s">
        <v>587</v>
      </c>
      <c r="B8" s="146"/>
      <c r="C8" s="47"/>
      <c r="D8" s="47"/>
      <c r="E8" s="47"/>
      <c r="F8" s="47"/>
      <c r="G8" s="11" t="s">
        <v>29</v>
      </c>
      <c r="H8" s="12">
        <f>COUNTIF($A:$F, "*콘텐츠*")</f>
        <v>8</v>
      </c>
      <c r="I8" s="20" t="s">
        <v>30</v>
      </c>
      <c r="J8" s="12">
        <f>COUNTIF($A:$F, "*김세희*")</f>
        <v>8</v>
      </c>
    </row>
    <row r="9">
      <c r="A9" s="51"/>
      <c r="B9" s="205" t="s">
        <v>588</v>
      </c>
      <c r="C9" s="201" t="s">
        <v>10</v>
      </c>
      <c r="D9" s="229" t="s">
        <v>589</v>
      </c>
      <c r="E9" s="200" t="s">
        <v>32</v>
      </c>
      <c r="F9" s="197" t="s">
        <v>433</v>
      </c>
      <c r="G9" s="11" t="s">
        <v>33</v>
      </c>
      <c r="H9" s="12">
        <f>COUNTIF($A:$F, "*금융*")</f>
        <v>0</v>
      </c>
      <c r="I9" s="20" t="s">
        <v>34</v>
      </c>
      <c r="J9" s="12">
        <f>COUNTIF($A:$F, "*김지현*")</f>
        <v>11</v>
      </c>
    </row>
    <row r="10">
      <c r="A10" s="51"/>
      <c r="B10" s="201" t="s">
        <v>590</v>
      </c>
      <c r="C10" s="201" t="s">
        <v>17</v>
      </c>
      <c r="D10" s="229" t="s">
        <v>591</v>
      </c>
      <c r="E10" s="200" t="s">
        <v>36</v>
      </c>
      <c r="F10" s="197" t="s">
        <v>92</v>
      </c>
      <c r="G10" s="34" t="s">
        <v>37</v>
      </c>
      <c r="H10" s="12">
        <f>COUNTIF($A:$F, "*IT*")</f>
        <v>0</v>
      </c>
      <c r="I10" s="20" t="s">
        <v>38</v>
      </c>
      <c r="J10" s="12">
        <f>COUNTIF($A:$F, "*범하나*")</f>
        <v>17</v>
      </c>
    </row>
    <row r="11">
      <c r="A11" s="51"/>
      <c r="B11" s="201" t="s">
        <v>592</v>
      </c>
      <c r="C11" s="47"/>
      <c r="D11" s="201" t="s">
        <v>593</v>
      </c>
      <c r="E11" s="200" t="s">
        <v>112</v>
      </c>
      <c r="F11" s="47"/>
      <c r="G11" s="11" t="s">
        <v>40</v>
      </c>
      <c r="H11" s="12">
        <f>COUNTIF($A:$F, "*임원면접*")</f>
        <v>0</v>
      </c>
      <c r="I11" s="20" t="s">
        <v>41</v>
      </c>
      <c r="J11" s="12">
        <f>COUNTIF($A:$F, "*성지우*")</f>
        <v>5</v>
      </c>
    </row>
    <row r="12">
      <c r="A12" s="51"/>
      <c r="B12" s="201" t="s">
        <v>594</v>
      </c>
      <c r="C12" s="47"/>
      <c r="D12" s="201" t="s">
        <v>595</v>
      </c>
      <c r="E12" s="47"/>
      <c r="F12" s="47"/>
      <c r="G12" s="37" t="s">
        <v>44</v>
      </c>
      <c r="H12" s="38">
        <f>sum(H3:H11)</f>
        <v>209</v>
      </c>
      <c r="I12" s="20" t="s">
        <v>45</v>
      </c>
      <c r="J12" s="12">
        <f>COUNTIF($A:$F, "*신민이*")</f>
        <v>9</v>
      </c>
    </row>
    <row r="13">
      <c r="A13" s="51"/>
      <c r="B13" s="47"/>
      <c r="C13" s="205" t="s">
        <v>443</v>
      </c>
      <c r="E13" s="47"/>
      <c r="F13" s="47"/>
      <c r="I13" s="20" t="s">
        <v>49</v>
      </c>
      <c r="J13" s="12">
        <f>COUNTIF($A:$F, "*심영섭*")</f>
        <v>26</v>
      </c>
    </row>
    <row r="14">
      <c r="A14" s="51"/>
      <c r="B14" s="47"/>
      <c r="C14" s="201" t="s">
        <v>352</v>
      </c>
      <c r="D14" s="232" t="s">
        <v>100</v>
      </c>
      <c r="E14" s="201" t="s">
        <v>353</v>
      </c>
      <c r="F14" s="201" t="s">
        <v>434</v>
      </c>
      <c r="I14" s="20" t="s">
        <v>52</v>
      </c>
      <c r="J14" s="12">
        <f>COUNTIF($A:$F, "*양우석*")</f>
        <v>0</v>
      </c>
    </row>
    <row r="15">
      <c r="A15" s="51"/>
      <c r="B15" s="47"/>
      <c r="C15" s="47"/>
      <c r="D15" s="232" t="s">
        <v>103</v>
      </c>
      <c r="E15" s="201" t="s">
        <v>12</v>
      </c>
      <c r="F15" s="201" t="s">
        <v>435</v>
      </c>
      <c r="I15" s="20" t="s">
        <v>53</v>
      </c>
      <c r="J15" s="12">
        <f>COUNTIF($A:$F, "*이상환*")</f>
        <v>8</v>
      </c>
    </row>
    <row r="16">
      <c r="A16" s="51"/>
      <c r="B16" s="47"/>
      <c r="C16" s="47"/>
      <c r="D16" s="47"/>
      <c r="E16" s="201" t="s">
        <v>19</v>
      </c>
      <c r="F16" s="47"/>
      <c r="I16" s="20" t="s">
        <v>55</v>
      </c>
      <c r="J16" s="12">
        <f>COUNTIF($A:$F, "*이주환*")</f>
        <v>0</v>
      </c>
    </row>
    <row r="17">
      <c r="A17" s="51"/>
      <c r="B17" s="47"/>
      <c r="C17" s="201" t="s">
        <v>596</v>
      </c>
      <c r="D17" s="47"/>
      <c r="E17" s="47"/>
      <c r="F17" s="47"/>
      <c r="I17" s="20" t="s">
        <v>57</v>
      </c>
      <c r="J17" s="12">
        <f>COUNTIF($A:$F, "*이하영*")</f>
        <v>0</v>
      </c>
    </row>
    <row r="18">
      <c r="A18" s="51"/>
      <c r="B18" s="47"/>
      <c r="C18" s="201" t="s">
        <v>597</v>
      </c>
      <c r="D18" s="198" t="s">
        <v>598</v>
      </c>
      <c r="E18" s="47"/>
      <c r="F18" s="201" t="s">
        <v>67</v>
      </c>
      <c r="I18" s="20" t="s">
        <v>58</v>
      </c>
      <c r="J18" s="12">
        <f>COUNTIF($A:$F, "*이효숙*")</f>
        <v>0</v>
      </c>
    </row>
    <row r="19">
      <c r="A19" s="51"/>
      <c r="B19" s="197" t="s">
        <v>599</v>
      </c>
      <c r="C19" s="47"/>
      <c r="D19" s="198" t="s">
        <v>600</v>
      </c>
      <c r="E19" s="47"/>
      <c r="F19" s="201" t="s">
        <v>31</v>
      </c>
      <c r="I19" s="20" t="s">
        <v>59</v>
      </c>
      <c r="J19" s="12">
        <f>COUNTIF($A:$F, "*이희영*")</f>
        <v>21</v>
      </c>
    </row>
    <row r="20">
      <c r="A20" s="51"/>
      <c r="B20" s="197" t="s">
        <v>601</v>
      </c>
      <c r="C20" s="47"/>
      <c r="D20" s="198" t="s">
        <v>602</v>
      </c>
      <c r="E20" s="47"/>
      <c r="F20" s="205" t="s">
        <v>603</v>
      </c>
      <c r="I20" s="20" t="s">
        <v>60</v>
      </c>
      <c r="J20" s="12">
        <f>COUNTIF($A:$F, "*장신혜*")</f>
        <v>12</v>
      </c>
    </row>
    <row r="21">
      <c r="A21" s="51"/>
      <c r="B21" s="197" t="s">
        <v>604</v>
      </c>
      <c r="C21" s="47"/>
      <c r="D21" s="47"/>
      <c r="E21" s="47"/>
      <c r="F21" s="47"/>
      <c r="I21" s="20" t="s">
        <v>61</v>
      </c>
      <c r="J21" s="12">
        <f>COUNTIF($A:$F, "*정지선*")</f>
        <v>22</v>
      </c>
    </row>
    <row r="22">
      <c r="A22" s="51"/>
      <c r="B22" s="197" t="s">
        <v>605</v>
      </c>
      <c r="C22" s="47"/>
      <c r="D22" s="202" t="s">
        <v>359</v>
      </c>
      <c r="E22" s="47"/>
      <c r="F22" s="201" t="s">
        <v>458</v>
      </c>
      <c r="I22" s="20" t="s">
        <v>62</v>
      </c>
      <c r="J22" s="12">
        <f>COUNTIF($A:$F, "*지명선*")</f>
        <v>5</v>
      </c>
    </row>
    <row r="23">
      <c r="A23" s="190"/>
      <c r="B23" s="190"/>
      <c r="C23" s="47"/>
      <c r="D23" s="202" t="s">
        <v>360</v>
      </c>
      <c r="E23" s="47"/>
      <c r="F23" s="201" t="s">
        <v>460</v>
      </c>
      <c r="I23" s="20" t="s">
        <v>63</v>
      </c>
      <c r="J23" s="12">
        <f>COUNTIF($A:$F, "*최은주*")</f>
        <v>0</v>
      </c>
    </row>
    <row r="24">
      <c r="A24" s="190"/>
      <c r="B24" s="190"/>
      <c r="C24" s="46"/>
      <c r="D24" s="46"/>
      <c r="E24" s="46"/>
      <c r="F24" s="46"/>
      <c r="I24" s="20" t="s">
        <v>65</v>
      </c>
      <c r="J24" s="12">
        <f>COUNTIF($A:$F, "*한 나*")</f>
        <v>8</v>
      </c>
    </row>
    <row r="25">
      <c r="A25" s="190"/>
      <c r="B25" s="190"/>
      <c r="C25" s="46"/>
      <c r="D25" s="46"/>
      <c r="E25" s="46"/>
      <c r="F25" s="46"/>
      <c r="I25" s="20" t="s">
        <v>66</v>
      </c>
      <c r="J25" s="12">
        <f>COUNTIF($A:$F, "*민현정*")</f>
        <v>0</v>
      </c>
    </row>
    <row r="26">
      <c r="A26" s="190"/>
      <c r="B26" s="190"/>
      <c r="C26" s="46"/>
      <c r="D26" s="46"/>
      <c r="E26" s="46"/>
      <c r="F26" s="197" t="s">
        <v>606</v>
      </c>
      <c r="I26" s="54" t="s">
        <v>44</v>
      </c>
      <c r="J26" s="38">
        <f>sum(J3:J25)</f>
        <v>209</v>
      </c>
    </row>
    <row r="27">
      <c r="A27" s="190"/>
      <c r="B27" s="190"/>
      <c r="C27" s="46"/>
      <c r="D27" s="46"/>
      <c r="E27" s="46"/>
      <c r="F27" s="197" t="s">
        <v>607</v>
      </c>
    </row>
    <row r="28">
      <c r="A28" s="190"/>
      <c r="B28" s="190"/>
      <c r="C28" s="46"/>
      <c r="D28" s="46"/>
      <c r="E28" s="46"/>
      <c r="F28" s="197" t="s">
        <v>608</v>
      </c>
    </row>
    <row r="29">
      <c r="A29" s="183"/>
      <c r="B29" s="183"/>
      <c r="C29" s="75"/>
      <c r="D29" s="75"/>
      <c r="E29" s="75"/>
      <c r="F29" s="75"/>
    </row>
    <row r="30">
      <c r="A30" s="184">
        <v>10.0</v>
      </c>
      <c r="B30" s="8">
        <v>11.0</v>
      </c>
      <c r="C30" s="184">
        <v>12.0</v>
      </c>
      <c r="D30" s="8">
        <v>13.0</v>
      </c>
      <c r="E30" s="8">
        <v>14.0</v>
      </c>
      <c r="F30" s="8">
        <v>15.0</v>
      </c>
    </row>
    <row r="31">
      <c r="A31" s="47"/>
      <c r="B31" s="47"/>
      <c r="C31" s="47"/>
      <c r="D31" s="47"/>
      <c r="E31" s="47"/>
      <c r="F31" s="47"/>
    </row>
    <row r="32">
      <c r="A32" s="197" t="s">
        <v>606</v>
      </c>
      <c r="B32" s="201" t="s">
        <v>609</v>
      </c>
      <c r="C32" s="201" t="s">
        <v>10</v>
      </c>
      <c r="D32" s="229" t="s">
        <v>610</v>
      </c>
      <c r="E32" s="200" t="s">
        <v>32</v>
      </c>
      <c r="F32" s="201" t="s">
        <v>611</v>
      </c>
    </row>
    <row r="33">
      <c r="A33" s="197" t="s">
        <v>607</v>
      </c>
      <c r="B33" s="201" t="s">
        <v>612</v>
      </c>
      <c r="C33" s="201" t="s">
        <v>17</v>
      </c>
      <c r="D33" s="229" t="s">
        <v>613</v>
      </c>
      <c r="E33" s="200" t="s">
        <v>36</v>
      </c>
      <c r="F33" s="197" t="s">
        <v>92</v>
      </c>
    </row>
    <row r="34">
      <c r="A34" s="47"/>
      <c r="B34" s="201" t="s">
        <v>614</v>
      </c>
      <c r="C34" s="237" t="s">
        <v>244</v>
      </c>
      <c r="D34" s="201" t="s">
        <v>615</v>
      </c>
      <c r="E34" s="200" t="s">
        <v>112</v>
      </c>
      <c r="F34" s="47"/>
    </row>
    <row r="35">
      <c r="A35" s="47"/>
      <c r="B35" s="201" t="s">
        <v>616</v>
      </c>
      <c r="C35" s="237" t="s">
        <v>617</v>
      </c>
      <c r="D35" s="201" t="s">
        <v>618</v>
      </c>
      <c r="E35" s="47"/>
    </row>
    <row r="36">
      <c r="A36" s="47"/>
      <c r="B36" s="47"/>
      <c r="D36" s="237" t="s">
        <v>619</v>
      </c>
      <c r="E36" s="47"/>
      <c r="F36" s="47"/>
    </row>
    <row r="37">
      <c r="A37" s="198" t="s">
        <v>620</v>
      </c>
      <c r="B37" s="47"/>
      <c r="C37" s="201" t="s">
        <v>621</v>
      </c>
      <c r="E37" s="201" t="s">
        <v>353</v>
      </c>
      <c r="F37" s="201" t="s">
        <v>434</v>
      </c>
    </row>
    <row r="38">
      <c r="A38" s="198" t="s">
        <v>622</v>
      </c>
      <c r="B38" s="201" t="s">
        <v>623</v>
      </c>
      <c r="C38" s="201" t="s">
        <v>350</v>
      </c>
      <c r="D38" s="232" t="s">
        <v>100</v>
      </c>
      <c r="E38" s="201" t="s">
        <v>12</v>
      </c>
      <c r="F38" s="201" t="s">
        <v>435</v>
      </c>
    </row>
    <row r="39">
      <c r="A39" s="198" t="s">
        <v>624</v>
      </c>
      <c r="B39" s="201" t="s">
        <v>625</v>
      </c>
      <c r="C39" s="237" t="s">
        <v>352</v>
      </c>
      <c r="D39" s="232" t="s">
        <v>103</v>
      </c>
      <c r="E39" s="201" t="s">
        <v>19</v>
      </c>
      <c r="F39" s="237" t="s">
        <v>626</v>
      </c>
    </row>
    <row r="40">
      <c r="A40" s="47"/>
      <c r="B40" s="47"/>
      <c r="C40" s="237" t="s">
        <v>627</v>
      </c>
      <c r="D40" s="47"/>
      <c r="E40" s="237" t="s">
        <v>98</v>
      </c>
      <c r="F40" s="237" t="s">
        <v>628</v>
      </c>
    </row>
    <row r="41">
      <c r="A41" s="47"/>
      <c r="B41" s="47"/>
      <c r="D41" s="198" t="s">
        <v>629</v>
      </c>
      <c r="E41" s="47"/>
      <c r="F41" s="47"/>
    </row>
    <row r="42">
      <c r="A42" s="200" t="s">
        <v>630</v>
      </c>
      <c r="B42" s="47"/>
      <c r="C42" s="202" t="s">
        <v>129</v>
      </c>
      <c r="D42" s="198" t="s">
        <v>631</v>
      </c>
      <c r="E42" s="47"/>
      <c r="F42" s="237" t="s">
        <v>632</v>
      </c>
    </row>
    <row r="43">
      <c r="A43" s="200" t="s">
        <v>633</v>
      </c>
      <c r="B43" s="47"/>
      <c r="C43" s="202" t="s">
        <v>48</v>
      </c>
      <c r="D43" s="198" t="s">
        <v>634</v>
      </c>
      <c r="E43" s="47"/>
      <c r="F43" s="198" t="s">
        <v>635</v>
      </c>
    </row>
    <row r="44">
      <c r="A44" s="200" t="s">
        <v>636</v>
      </c>
      <c r="B44" s="47"/>
      <c r="C44" s="238" t="s">
        <v>637</v>
      </c>
      <c r="D44" s="47"/>
      <c r="E44" s="47"/>
      <c r="F44" s="201" t="s">
        <v>31</v>
      </c>
    </row>
    <row r="45">
      <c r="A45" s="200" t="s">
        <v>638</v>
      </c>
      <c r="B45" s="47"/>
      <c r="C45" s="47"/>
      <c r="D45" s="47"/>
      <c r="E45" s="47"/>
      <c r="F45" s="237" t="s">
        <v>68</v>
      </c>
    </row>
    <row r="46">
      <c r="A46" s="46"/>
      <c r="B46" s="47"/>
      <c r="C46" s="47"/>
      <c r="D46" s="47"/>
      <c r="E46" s="47"/>
    </row>
    <row r="47">
      <c r="A47" s="46"/>
      <c r="B47" s="47"/>
      <c r="C47" s="51"/>
      <c r="D47" s="51"/>
      <c r="E47" s="51"/>
      <c r="F47" s="201" t="s">
        <v>458</v>
      </c>
    </row>
    <row r="48">
      <c r="A48" s="201" t="s">
        <v>361</v>
      </c>
      <c r="B48" s="190"/>
      <c r="C48" s="46"/>
      <c r="D48" s="46"/>
      <c r="E48" s="46"/>
      <c r="F48" s="201" t="s">
        <v>460</v>
      </c>
    </row>
    <row r="49">
      <c r="A49" s="201" t="s">
        <v>362</v>
      </c>
      <c r="B49" s="46"/>
      <c r="C49" s="46"/>
      <c r="D49" s="46"/>
      <c r="E49" s="46"/>
      <c r="F49" s="237" t="s">
        <v>639</v>
      </c>
    </row>
    <row r="50">
      <c r="A50" s="201" t="s">
        <v>473</v>
      </c>
      <c r="B50" s="46"/>
      <c r="C50" s="46"/>
      <c r="D50" s="46"/>
      <c r="E50" s="46"/>
      <c r="F50" s="237" t="s">
        <v>640</v>
      </c>
    </row>
    <row r="51">
      <c r="A51" s="46"/>
      <c r="B51" s="46"/>
      <c r="C51" s="46"/>
      <c r="D51" s="46"/>
      <c r="E51" s="46"/>
      <c r="F51" s="46"/>
    </row>
    <row r="52">
      <c r="A52" s="46"/>
      <c r="B52" s="46"/>
      <c r="C52" s="46"/>
      <c r="D52" s="46"/>
      <c r="E52" s="46"/>
      <c r="F52" s="46"/>
    </row>
    <row r="53">
      <c r="A53" s="10">
        <v>17.0</v>
      </c>
      <c r="B53" s="10">
        <v>18.0</v>
      </c>
      <c r="C53" s="9">
        <v>19.0</v>
      </c>
      <c r="D53" s="10">
        <v>20.0</v>
      </c>
      <c r="E53" s="9">
        <v>21.0</v>
      </c>
      <c r="F53" s="9">
        <v>22.0</v>
      </c>
    </row>
    <row r="54">
      <c r="A54" s="47"/>
      <c r="B54" s="47"/>
      <c r="C54" s="47"/>
      <c r="D54" s="47"/>
      <c r="E54" s="47"/>
      <c r="F54" s="47"/>
    </row>
    <row r="55">
      <c r="A55" s="197" t="s">
        <v>641</v>
      </c>
      <c r="B55" s="201" t="s">
        <v>642</v>
      </c>
      <c r="C55" s="201" t="s">
        <v>10</v>
      </c>
      <c r="D55" s="229" t="s">
        <v>643</v>
      </c>
      <c r="E55" s="200" t="s">
        <v>32</v>
      </c>
      <c r="F55" s="197" t="s">
        <v>433</v>
      </c>
    </row>
    <row r="56">
      <c r="A56" s="197" t="s">
        <v>644</v>
      </c>
      <c r="B56" s="205" t="s">
        <v>645</v>
      </c>
      <c r="C56" s="201" t="s">
        <v>17</v>
      </c>
      <c r="D56" s="229" t="s">
        <v>646</v>
      </c>
      <c r="E56" s="200" t="s">
        <v>36</v>
      </c>
      <c r="F56" s="197" t="s">
        <v>92</v>
      </c>
    </row>
    <row r="57">
      <c r="A57" s="197" t="s">
        <v>647</v>
      </c>
      <c r="B57" s="201" t="s">
        <v>648</v>
      </c>
      <c r="C57" s="47"/>
      <c r="D57" s="201" t="s">
        <v>649</v>
      </c>
      <c r="E57" s="200" t="s">
        <v>112</v>
      </c>
      <c r="F57" s="47"/>
    </row>
    <row r="58">
      <c r="A58" s="201" t="s">
        <v>650</v>
      </c>
      <c r="B58" s="201" t="s">
        <v>651</v>
      </c>
      <c r="C58" s="47"/>
      <c r="D58" s="201" t="s">
        <v>652</v>
      </c>
      <c r="E58" s="47"/>
      <c r="F58" s="47"/>
    </row>
    <row r="59">
      <c r="A59" s="47"/>
      <c r="B59" s="201" t="s">
        <v>653</v>
      </c>
      <c r="C59" s="205" t="s">
        <v>443</v>
      </c>
      <c r="E59" s="47"/>
      <c r="F59" s="47"/>
    </row>
    <row r="60">
      <c r="A60" s="198" t="s">
        <v>654</v>
      </c>
      <c r="B60" s="47"/>
      <c r="C60" s="201" t="s">
        <v>352</v>
      </c>
      <c r="D60" s="232" t="s">
        <v>100</v>
      </c>
      <c r="E60" s="201" t="s">
        <v>353</v>
      </c>
      <c r="F60" s="201" t="s">
        <v>434</v>
      </c>
    </row>
    <row r="61">
      <c r="A61" s="198" t="s">
        <v>655</v>
      </c>
      <c r="B61" s="47"/>
      <c r="C61" s="47"/>
      <c r="D61" s="232" t="s">
        <v>103</v>
      </c>
      <c r="E61" s="201" t="s">
        <v>12</v>
      </c>
      <c r="F61" s="201" t="s">
        <v>435</v>
      </c>
    </row>
    <row r="62">
      <c r="A62" s="47"/>
      <c r="B62" s="201" t="s">
        <v>656</v>
      </c>
      <c r="C62" s="47"/>
      <c r="D62" s="47"/>
      <c r="E62" s="201" t="s">
        <v>19</v>
      </c>
      <c r="F62" s="47"/>
    </row>
    <row r="63">
      <c r="A63" s="47"/>
      <c r="B63" s="201" t="s">
        <v>657</v>
      </c>
      <c r="C63" s="47"/>
      <c r="D63" s="198" t="s">
        <v>658</v>
      </c>
      <c r="E63" s="47"/>
      <c r="F63" s="47"/>
    </row>
    <row r="64">
      <c r="A64" s="47"/>
      <c r="B64" s="47"/>
      <c r="C64" s="47"/>
      <c r="D64" s="198" t="s">
        <v>659</v>
      </c>
      <c r="E64" s="47"/>
      <c r="F64" s="201" t="s">
        <v>67</v>
      </c>
    </row>
    <row r="65">
      <c r="A65" s="200" t="s">
        <v>660</v>
      </c>
      <c r="B65" s="47"/>
      <c r="C65" s="47"/>
      <c r="D65" s="198" t="s">
        <v>661</v>
      </c>
      <c r="E65" s="47"/>
      <c r="F65" s="201" t="s">
        <v>31</v>
      </c>
    </row>
    <row r="66">
      <c r="A66" s="200" t="s">
        <v>662</v>
      </c>
      <c r="B66" s="47"/>
      <c r="C66" s="47"/>
      <c r="D66" s="198" t="s">
        <v>663</v>
      </c>
      <c r="E66" s="47"/>
      <c r="F66" s="47"/>
    </row>
    <row r="67">
      <c r="A67" s="200" t="s">
        <v>664</v>
      </c>
      <c r="B67" s="47"/>
      <c r="C67" s="47"/>
      <c r="D67" s="198" t="s">
        <v>665</v>
      </c>
      <c r="E67" s="47"/>
      <c r="F67" s="47"/>
    </row>
    <row r="68">
      <c r="A68" s="200" t="s">
        <v>666</v>
      </c>
      <c r="B68" s="47"/>
      <c r="C68" s="47"/>
      <c r="D68" s="47"/>
      <c r="E68" s="47"/>
      <c r="F68" s="201" t="s">
        <v>458</v>
      </c>
    </row>
    <row r="69">
      <c r="A69" s="46"/>
      <c r="B69" s="47"/>
      <c r="C69" s="47"/>
      <c r="D69" s="202" t="s">
        <v>359</v>
      </c>
      <c r="E69" s="47"/>
      <c r="F69" s="201" t="s">
        <v>460</v>
      </c>
    </row>
    <row r="70">
      <c r="A70" s="46"/>
      <c r="B70" s="47"/>
      <c r="C70" s="51"/>
      <c r="D70" s="202" t="s">
        <v>360</v>
      </c>
      <c r="E70" s="51"/>
      <c r="F70" s="46"/>
    </row>
    <row r="71">
      <c r="A71" s="201" t="s">
        <v>361</v>
      </c>
      <c r="B71" s="190"/>
      <c r="C71" s="46"/>
      <c r="D71" s="202" t="s">
        <v>447</v>
      </c>
      <c r="E71" s="46"/>
      <c r="F71" s="46"/>
    </row>
    <row r="72">
      <c r="A72" s="201" t="s">
        <v>362</v>
      </c>
      <c r="B72" s="46"/>
      <c r="C72" s="46"/>
      <c r="D72" s="46"/>
      <c r="E72" s="46"/>
      <c r="F72" s="197" t="s">
        <v>606</v>
      </c>
    </row>
    <row r="73">
      <c r="A73" s="201" t="s">
        <v>473</v>
      </c>
      <c r="B73" s="46"/>
      <c r="C73" s="46"/>
      <c r="D73" s="46"/>
      <c r="E73" s="46"/>
      <c r="F73" s="197" t="s">
        <v>607</v>
      </c>
    </row>
    <row r="74">
      <c r="A74" s="46"/>
      <c r="B74" s="46"/>
      <c r="C74" s="46"/>
      <c r="D74" s="46"/>
      <c r="E74" s="46"/>
      <c r="F74" s="239"/>
    </row>
    <row r="75">
      <c r="A75" s="75"/>
      <c r="B75" s="75"/>
      <c r="C75" s="75"/>
      <c r="D75" s="75"/>
      <c r="E75" s="75"/>
      <c r="F75" s="188"/>
    </row>
    <row r="76">
      <c r="A76" s="76">
        <v>24.0</v>
      </c>
      <c r="B76" s="76">
        <v>25.0</v>
      </c>
      <c r="C76" s="8">
        <v>26.0</v>
      </c>
      <c r="D76" s="76">
        <v>27.0</v>
      </c>
      <c r="E76" s="8">
        <v>28.0</v>
      </c>
      <c r="F76" s="8">
        <v>29.0</v>
      </c>
    </row>
    <row r="77">
      <c r="A77" s="47"/>
      <c r="B77" s="47"/>
      <c r="C77" s="47"/>
      <c r="D77" s="47"/>
      <c r="E77" s="47"/>
      <c r="F77" s="47"/>
    </row>
    <row r="78">
      <c r="A78" s="197" t="s">
        <v>667</v>
      </c>
      <c r="B78" s="201" t="s">
        <v>668</v>
      </c>
      <c r="C78" s="47"/>
      <c r="D78" s="229" t="s">
        <v>669</v>
      </c>
      <c r="E78" s="200" t="s">
        <v>32</v>
      </c>
      <c r="F78" s="197" t="s">
        <v>433</v>
      </c>
    </row>
    <row r="79">
      <c r="A79" s="197" t="s">
        <v>670</v>
      </c>
      <c r="B79" s="201" t="s">
        <v>671</v>
      </c>
      <c r="C79" s="47"/>
      <c r="D79" s="229" t="s">
        <v>672</v>
      </c>
      <c r="E79" s="200" t="s">
        <v>36</v>
      </c>
      <c r="F79" s="197" t="s">
        <v>92</v>
      </c>
    </row>
    <row r="80">
      <c r="A80" s="197" t="s">
        <v>673</v>
      </c>
      <c r="B80" s="201" t="s">
        <v>674</v>
      </c>
      <c r="C80" s="47"/>
      <c r="D80" s="201" t="s">
        <v>675</v>
      </c>
      <c r="E80" s="200" t="s">
        <v>112</v>
      </c>
      <c r="F80" s="47"/>
    </row>
    <row r="81">
      <c r="A81" s="197" t="s">
        <v>676</v>
      </c>
      <c r="B81" s="201" t="s">
        <v>677</v>
      </c>
      <c r="C81" s="47"/>
      <c r="D81" s="201" t="s">
        <v>678</v>
      </c>
      <c r="E81" s="47"/>
      <c r="F81" s="47"/>
    </row>
    <row r="82">
      <c r="A82" s="47"/>
      <c r="B82" s="47"/>
      <c r="C82" s="201" t="s">
        <v>350</v>
      </c>
      <c r="E82" s="47"/>
      <c r="F82" s="47"/>
    </row>
    <row r="83">
      <c r="A83" s="198" t="s">
        <v>679</v>
      </c>
      <c r="B83" s="47"/>
      <c r="C83" s="201" t="s">
        <v>352</v>
      </c>
      <c r="D83" s="232" t="s">
        <v>100</v>
      </c>
      <c r="E83" s="201" t="s">
        <v>353</v>
      </c>
      <c r="F83" s="201" t="s">
        <v>434</v>
      </c>
    </row>
    <row r="84">
      <c r="A84" s="198" t="s">
        <v>680</v>
      </c>
      <c r="B84" s="201" t="s">
        <v>681</v>
      </c>
      <c r="C84" s="47"/>
      <c r="D84" s="232" t="s">
        <v>103</v>
      </c>
      <c r="E84" s="201" t="s">
        <v>12</v>
      </c>
      <c r="F84" s="201" t="s">
        <v>435</v>
      </c>
    </row>
    <row r="85">
      <c r="A85" s="47"/>
      <c r="B85" s="201" t="s">
        <v>682</v>
      </c>
      <c r="C85" s="47"/>
      <c r="D85" s="47"/>
      <c r="E85" s="201" t="s">
        <v>19</v>
      </c>
      <c r="F85" s="47"/>
    </row>
    <row r="86">
      <c r="A86" s="47"/>
      <c r="B86" s="47"/>
      <c r="C86" s="202" t="s">
        <v>129</v>
      </c>
      <c r="D86" s="47"/>
      <c r="E86" s="47"/>
      <c r="F86" s="47"/>
    </row>
    <row r="87">
      <c r="A87" s="47"/>
      <c r="B87" s="47"/>
      <c r="C87" s="202" t="s">
        <v>48</v>
      </c>
      <c r="D87" s="198" t="s">
        <v>683</v>
      </c>
      <c r="E87" s="47"/>
      <c r="F87" s="47"/>
    </row>
    <row r="88">
      <c r="A88" s="200" t="s">
        <v>684</v>
      </c>
      <c r="B88" s="47"/>
      <c r="C88" s="47"/>
      <c r="D88" s="198" t="s">
        <v>685</v>
      </c>
      <c r="E88" s="47"/>
      <c r="F88" s="47"/>
    </row>
    <row r="89">
      <c r="A89" s="200" t="s">
        <v>686</v>
      </c>
      <c r="B89" s="47"/>
      <c r="C89" s="47"/>
      <c r="D89" s="198" t="s">
        <v>687</v>
      </c>
      <c r="E89" s="47"/>
      <c r="F89" s="47"/>
    </row>
    <row r="90">
      <c r="A90" s="200" t="s">
        <v>688</v>
      </c>
      <c r="B90" s="47"/>
      <c r="C90" s="47"/>
      <c r="D90" s="47"/>
      <c r="E90" s="47"/>
      <c r="F90" s="47"/>
    </row>
    <row r="91">
      <c r="A91" s="200" t="s">
        <v>689</v>
      </c>
      <c r="B91" s="47"/>
      <c r="C91" s="47"/>
      <c r="D91" s="47"/>
      <c r="E91" s="47"/>
      <c r="F91" s="47"/>
    </row>
    <row r="92">
      <c r="A92" s="46"/>
      <c r="B92" s="47"/>
      <c r="C92" s="47"/>
      <c r="D92" s="47"/>
      <c r="E92" s="47"/>
      <c r="F92" s="47"/>
    </row>
    <row r="93">
      <c r="A93" s="46"/>
      <c r="B93" s="47"/>
      <c r="C93" s="51"/>
      <c r="D93" s="51"/>
      <c r="E93" s="51"/>
      <c r="F93" s="47"/>
    </row>
    <row r="94">
      <c r="A94" s="201" t="s">
        <v>361</v>
      </c>
      <c r="B94" s="190"/>
      <c r="C94" s="46"/>
      <c r="D94" s="46"/>
      <c r="E94" s="46"/>
      <c r="F94" s="47"/>
    </row>
    <row r="95">
      <c r="A95" s="201" t="s">
        <v>362</v>
      </c>
      <c r="B95" s="46"/>
      <c r="C95" s="46"/>
      <c r="D95" s="46"/>
      <c r="E95" s="46"/>
      <c r="F95" s="47"/>
    </row>
    <row r="96">
      <c r="A96" s="201" t="s">
        <v>473</v>
      </c>
      <c r="B96" s="46"/>
      <c r="C96" s="46"/>
      <c r="D96" s="46"/>
      <c r="E96" s="46"/>
      <c r="F96" s="47"/>
    </row>
    <row r="97">
      <c r="A97" s="46"/>
      <c r="B97" s="46"/>
      <c r="C97" s="46"/>
      <c r="D97" s="46"/>
      <c r="E97" s="46"/>
      <c r="F97" s="190"/>
    </row>
    <row r="98">
      <c r="A98" s="75"/>
      <c r="B98" s="75"/>
      <c r="C98" s="75"/>
      <c r="D98" s="75"/>
      <c r="E98" s="75"/>
      <c r="F98" s="183"/>
    </row>
    <row r="99">
      <c r="A99" s="76">
        <v>31.0</v>
      </c>
      <c r="B99" s="8"/>
      <c r="C99" s="8"/>
      <c r="D99" s="8"/>
      <c r="E99" s="8"/>
      <c r="F99" s="8"/>
    </row>
    <row r="100">
      <c r="A100" s="47"/>
      <c r="B100" s="47"/>
      <c r="C100" s="47"/>
      <c r="D100" s="47"/>
      <c r="E100" s="47"/>
      <c r="F100" s="47"/>
    </row>
    <row r="101">
      <c r="A101" s="197" t="s">
        <v>690</v>
      </c>
      <c r="B101" s="47"/>
      <c r="C101" s="47"/>
      <c r="D101" s="47"/>
      <c r="E101" s="47"/>
      <c r="F101" s="47"/>
    </row>
    <row r="102">
      <c r="A102" s="197" t="s">
        <v>691</v>
      </c>
      <c r="B102" s="47"/>
      <c r="C102" s="47"/>
      <c r="D102" s="47"/>
      <c r="E102" s="47"/>
      <c r="F102" s="47"/>
    </row>
    <row r="103">
      <c r="A103" s="197" t="s">
        <v>692</v>
      </c>
      <c r="B103" s="47"/>
      <c r="C103" s="47"/>
      <c r="D103" s="47"/>
      <c r="E103" s="47"/>
      <c r="F103" s="47"/>
    </row>
    <row r="104">
      <c r="A104" s="47"/>
      <c r="B104" s="47"/>
      <c r="C104" s="47"/>
      <c r="D104" s="47"/>
      <c r="E104" s="47"/>
      <c r="F104" s="47"/>
    </row>
    <row r="105">
      <c r="A105" s="47"/>
      <c r="B105" s="47"/>
      <c r="C105" s="47"/>
      <c r="D105" s="47"/>
      <c r="E105" s="47"/>
      <c r="F105" s="47"/>
    </row>
    <row r="106">
      <c r="A106" s="198" t="s">
        <v>693</v>
      </c>
      <c r="B106" s="47"/>
      <c r="C106" s="47"/>
      <c r="D106" s="47"/>
      <c r="E106" s="47"/>
      <c r="F106" s="47"/>
    </row>
    <row r="107">
      <c r="A107" s="198" t="s">
        <v>694</v>
      </c>
      <c r="B107" s="47"/>
      <c r="C107" s="47"/>
      <c r="D107" s="47"/>
      <c r="E107" s="47"/>
      <c r="F107" s="47"/>
    </row>
    <row r="108">
      <c r="A108" s="47"/>
      <c r="B108" s="47"/>
      <c r="C108" s="47"/>
      <c r="D108" s="47"/>
      <c r="E108" s="47"/>
      <c r="F108" s="47"/>
    </row>
    <row r="109">
      <c r="A109" s="47"/>
      <c r="B109" s="47"/>
      <c r="C109" s="47"/>
      <c r="D109" s="47"/>
      <c r="E109" s="47"/>
      <c r="F109" s="47"/>
    </row>
    <row r="110">
      <c r="A110" s="47"/>
      <c r="B110" s="47"/>
      <c r="C110" s="47"/>
      <c r="D110" s="47"/>
      <c r="E110" s="47"/>
      <c r="F110" s="47"/>
    </row>
    <row r="111">
      <c r="A111" s="200" t="s">
        <v>695</v>
      </c>
      <c r="B111" s="47"/>
      <c r="C111" s="47"/>
      <c r="D111" s="47"/>
      <c r="E111" s="47"/>
      <c r="F111" s="47"/>
    </row>
    <row r="112">
      <c r="A112" s="200" t="s">
        <v>696</v>
      </c>
      <c r="B112" s="47"/>
      <c r="C112" s="47"/>
      <c r="D112" s="47"/>
      <c r="E112" s="47"/>
      <c r="F112" s="47"/>
    </row>
    <row r="113">
      <c r="A113" s="200" t="s">
        <v>697</v>
      </c>
      <c r="B113" s="47"/>
      <c r="C113" s="47"/>
      <c r="D113" s="47"/>
      <c r="E113" s="47"/>
      <c r="F113" s="47"/>
    </row>
    <row r="114">
      <c r="A114" s="46"/>
      <c r="B114" s="47"/>
      <c r="C114" s="47"/>
      <c r="D114" s="47"/>
      <c r="E114" s="47"/>
      <c r="F114" s="47"/>
    </row>
    <row r="115">
      <c r="A115" s="46"/>
      <c r="B115" s="47"/>
      <c r="C115" s="47"/>
      <c r="D115" s="47"/>
      <c r="E115" s="47"/>
      <c r="F115" s="47"/>
    </row>
    <row r="116">
      <c r="A116" s="46"/>
      <c r="B116" s="47"/>
      <c r="C116" s="47"/>
      <c r="D116" s="47"/>
      <c r="E116" s="47"/>
      <c r="F116" s="47"/>
    </row>
    <row r="117">
      <c r="A117" s="201" t="s">
        <v>361</v>
      </c>
      <c r="B117" s="47"/>
      <c r="C117" s="47"/>
      <c r="D117" s="47"/>
      <c r="E117" s="47"/>
      <c r="F117" s="47"/>
    </row>
    <row r="118">
      <c r="A118" s="201" t="s">
        <v>362</v>
      </c>
      <c r="B118" s="190"/>
      <c r="C118" s="190"/>
      <c r="D118" s="190"/>
      <c r="E118" s="190"/>
      <c r="F118" s="190"/>
    </row>
    <row r="119">
      <c r="A119" s="46"/>
      <c r="B119" s="190"/>
      <c r="C119" s="190"/>
      <c r="D119" s="190"/>
      <c r="E119" s="190"/>
      <c r="F119" s="190"/>
    </row>
    <row r="120">
      <c r="A120" s="46"/>
      <c r="B120" s="190"/>
      <c r="C120" s="190"/>
      <c r="D120" s="190"/>
      <c r="E120" s="190"/>
      <c r="F120" s="190"/>
    </row>
    <row r="121">
      <c r="A121" s="75"/>
      <c r="B121" s="183"/>
      <c r="C121" s="183"/>
      <c r="D121" s="183"/>
      <c r="E121" s="183"/>
      <c r="F121" s="183"/>
    </row>
  </sheetData>
  <mergeCells count="1">
    <mergeCell ref="A1:F1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30.57"/>
    <col customWidth="1" min="3" max="3" width="28.57"/>
    <col customWidth="1" min="4" max="4" width="29.14"/>
    <col customWidth="1" min="5" max="5" width="28.57"/>
    <col customWidth="1" min="6" max="6" width="21.57"/>
    <col customWidth="1" min="7" max="7" width="9.57"/>
    <col customWidth="1" min="8" max="8" width="3.29"/>
    <col customWidth="1" min="9" max="9" width="7.43"/>
    <col customWidth="1" min="10" max="10" width="3.29"/>
  </cols>
  <sheetData>
    <row r="1">
      <c r="A1" s="1">
        <v>46023.0</v>
      </c>
      <c r="B1" s="2"/>
      <c r="C1" s="2"/>
      <c r="D1" s="2"/>
      <c r="E1" s="2"/>
      <c r="F1" s="3"/>
    </row>
    <row r="2">
      <c r="A2" s="4" t="s">
        <v>698</v>
      </c>
      <c r="B2" s="5" t="s">
        <v>699</v>
      </c>
      <c r="C2" s="5" t="s">
        <v>700</v>
      </c>
      <c r="D2" s="5" t="s">
        <v>701</v>
      </c>
      <c r="E2" s="6" t="s">
        <v>702</v>
      </c>
      <c r="F2" s="7" t="s">
        <v>5</v>
      </c>
    </row>
    <row r="3">
      <c r="A3" s="240"/>
      <c r="B3" s="240"/>
      <c r="C3" s="240"/>
      <c r="D3" s="241">
        <v>1.0</v>
      </c>
      <c r="E3" s="10">
        <v>2.0</v>
      </c>
      <c r="F3" s="10">
        <v>3.0</v>
      </c>
      <c r="G3" s="11" t="s">
        <v>6</v>
      </c>
      <c r="H3" s="12">
        <f>COUNTIF($A:$F, "*진로개발*")</f>
        <v>28</v>
      </c>
      <c r="I3" s="13" t="s">
        <v>7</v>
      </c>
      <c r="J3" s="12">
        <f>COUNTIF($A:$F, "*강 진*")</f>
        <v>4</v>
      </c>
    </row>
    <row r="4">
      <c r="A4" s="47"/>
      <c r="B4" s="47"/>
      <c r="C4" s="146"/>
      <c r="D4" s="71" t="s">
        <v>703</v>
      </c>
      <c r="E4" s="72"/>
      <c r="F4" s="73"/>
      <c r="G4" s="11" t="s">
        <v>13</v>
      </c>
      <c r="H4" s="12">
        <f>COUNTIF($A:$F, "*서류면접*")</f>
        <v>28</v>
      </c>
      <c r="I4" s="20" t="s">
        <v>14</v>
      </c>
      <c r="J4" s="12">
        <f>COUNTIF($A:$F, "*김나영*")</f>
        <v>8</v>
      </c>
    </row>
    <row r="5">
      <c r="A5" s="47"/>
      <c r="B5" s="146"/>
      <c r="C5" s="146"/>
      <c r="D5" s="242"/>
      <c r="E5" s="51"/>
      <c r="F5" s="51"/>
      <c r="G5" s="11" t="s">
        <v>20</v>
      </c>
      <c r="H5" s="12">
        <f>COUNTIF($A:$F, "*공기업*")</f>
        <v>5</v>
      </c>
      <c r="I5" s="20" t="s">
        <v>21</v>
      </c>
      <c r="J5" s="12">
        <f>COUNTIF($A:$F, "*김미령*")</f>
        <v>0</v>
      </c>
    </row>
    <row r="6">
      <c r="A6" s="47"/>
      <c r="B6" s="146"/>
      <c r="C6" s="146"/>
      <c r="D6" s="242"/>
      <c r="E6" s="51"/>
      <c r="F6" s="51"/>
      <c r="G6" s="11" t="s">
        <v>22</v>
      </c>
      <c r="H6" s="12">
        <f>COUNTIF($A:$F, "*외국계*")</f>
        <v>8</v>
      </c>
      <c r="I6" s="20" t="s">
        <v>23</v>
      </c>
      <c r="J6" s="12">
        <f>COUNTIF($A:$F, "*김민경*")</f>
        <v>2</v>
      </c>
    </row>
    <row r="7">
      <c r="A7" s="48"/>
      <c r="B7" s="146"/>
      <c r="C7" s="146"/>
      <c r="D7" s="242"/>
      <c r="E7" s="51"/>
      <c r="F7" s="51"/>
      <c r="G7" s="11" t="s">
        <v>25</v>
      </c>
      <c r="H7" s="12">
        <f>COUNTIF($A:$F, "*이공계*")</f>
        <v>2</v>
      </c>
      <c r="I7" s="20" t="s">
        <v>26</v>
      </c>
      <c r="J7" s="12">
        <f>COUNTIF($A:$F, "*김선화*")</f>
        <v>6</v>
      </c>
    </row>
    <row r="8">
      <c r="A8" s="48"/>
      <c r="B8" s="146"/>
      <c r="C8" s="146"/>
      <c r="D8" s="242"/>
      <c r="E8" s="51"/>
      <c r="F8" s="51"/>
      <c r="G8" s="11" t="s">
        <v>29</v>
      </c>
      <c r="H8" s="12">
        <f>COUNTIF($A:$F, "*콘텐츠*")</f>
        <v>0</v>
      </c>
      <c r="I8" s="20" t="s">
        <v>30</v>
      </c>
      <c r="J8" s="12">
        <f>COUNTIF($A:$F, "*김세희*")</f>
        <v>0</v>
      </c>
    </row>
    <row r="9">
      <c r="A9" s="48"/>
      <c r="B9" s="146"/>
      <c r="C9" s="146"/>
      <c r="D9" s="242"/>
      <c r="E9" s="51"/>
      <c r="F9" s="51"/>
      <c r="G9" s="11" t="s">
        <v>33</v>
      </c>
      <c r="H9" s="12">
        <f>COUNTIF($A:$F, "*금융*")</f>
        <v>0</v>
      </c>
      <c r="I9" s="20" t="s">
        <v>34</v>
      </c>
      <c r="J9" s="12">
        <f>COUNTIF($A:$F, "*김지현*")</f>
        <v>4</v>
      </c>
    </row>
    <row r="10">
      <c r="A10" s="48"/>
      <c r="B10" s="146"/>
      <c r="C10" s="146"/>
      <c r="D10" s="242"/>
      <c r="E10" s="51"/>
      <c r="F10" s="51"/>
      <c r="G10" s="34" t="s">
        <v>37</v>
      </c>
      <c r="H10" s="12">
        <f>COUNTIF($A:$F, "*IT*")</f>
        <v>0</v>
      </c>
      <c r="I10" s="20" t="s">
        <v>38</v>
      </c>
      <c r="J10" s="12">
        <f>COUNTIF($A:$F, "*범하나*")</f>
        <v>5</v>
      </c>
    </row>
    <row r="11">
      <c r="A11" s="48"/>
      <c r="B11" s="146"/>
      <c r="C11" s="146"/>
      <c r="D11" s="242"/>
      <c r="E11" s="51"/>
      <c r="F11" s="51"/>
      <c r="G11" s="11" t="s">
        <v>40</v>
      </c>
      <c r="H11" s="12">
        <f>COUNTIF($A:$F, "*임원면접*")</f>
        <v>0</v>
      </c>
      <c r="I11" s="20" t="s">
        <v>41</v>
      </c>
      <c r="J11" s="12">
        <f>COUNTIF($A:$F, "*성지우*")</f>
        <v>4</v>
      </c>
    </row>
    <row r="12">
      <c r="A12" s="48"/>
      <c r="B12" s="146"/>
      <c r="C12" s="146"/>
      <c r="D12" s="242"/>
      <c r="E12" s="51"/>
      <c r="F12" s="51"/>
      <c r="G12" s="37" t="s">
        <v>44</v>
      </c>
      <c r="H12" s="38">
        <f>sum(H3:H11)</f>
        <v>71</v>
      </c>
      <c r="I12" s="20" t="s">
        <v>45</v>
      </c>
      <c r="J12" s="12">
        <f>COUNTIF($A:$F, "*신민이*")</f>
        <v>5</v>
      </c>
    </row>
    <row r="13">
      <c r="A13" s="48"/>
      <c r="B13" s="48"/>
      <c r="C13" s="48"/>
      <c r="D13" s="242"/>
      <c r="E13" s="51"/>
      <c r="F13" s="51"/>
      <c r="I13" s="20" t="s">
        <v>49</v>
      </c>
      <c r="J13" s="12">
        <f>COUNTIF($A:$F, "*심영섭*")</f>
        <v>8</v>
      </c>
    </row>
    <row r="14">
      <c r="A14" s="47"/>
      <c r="B14" s="48"/>
      <c r="C14" s="48"/>
      <c r="D14" s="242"/>
      <c r="E14" s="51"/>
      <c r="F14" s="51"/>
      <c r="I14" s="20" t="s">
        <v>52</v>
      </c>
      <c r="J14" s="12">
        <f>COUNTIF($A:$F, "*양우석*")</f>
        <v>0</v>
      </c>
    </row>
    <row r="15">
      <c r="A15" s="47"/>
      <c r="B15" s="48"/>
      <c r="C15" s="48"/>
      <c r="D15" s="48"/>
      <c r="E15" s="51"/>
      <c r="F15" s="51"/>
      <c r="I15" s="20" t="s">
        <v>53</v>
      </c>
      <c r="J15" s="12">
        <f>COUNTIF($A:$F, "*이상환*")</f>
        <v>0</v>
      </c>
    </row>
    <row r="16">
      <c r="A16" s="46"/>
      <c r="B16" s="46"/>
      <c r="C16" s="46"/>
      <c r="D16" s="46"/>
      <c r="E16" s="46"/>
      <c r="F16" s="46"/>
      <c r="I16" s="20" t="s">
        <v>55</v>
      </c>
      <c r="J16" s="12">
        <f>COUNTIF($A:$F, "*이주환*")</f>
        <v>0</v>
      </c>
    </row>
    <row r="17">
      <c r="A17" s="9">
        <v>5.0</v>
      </c>
      <c r="B17" s="9">
        <v>6.0</v>
      </c>
      <c r="C17" s="10">
        <v>7.0</v>
      </c>
      <c r="D17" s="9">
        <v>8.0</v>
      </c>
      <c r="E17" s="10">
        <v>9.0</v>
      </c>
      <c r="F17" s="10">
        <v>10.0</v>
      </c>
      <c r="I17" s="20" t="s">
        <v>57</v>
      </c>
      <c r="J17" s="12">
        <f>COUNTIF($A:$F, "*이하영*")</f>
        <v>0</v>
      </c>
    </row>
    <row r="18">
      <c r="A18" s="102" t="s">
        <v>704</v>
      </c>
      <c r="B18" s="99" t="s">
        <v>28</v>
      </c>
      <c r="C18" s="243" t="s">
        <v>35</v>
      </c>
      <c r="D18" s="98" t="s">
        <v>43</v>
      </c>
      <c r="E18" s="87" t="s">
        <v>32</v>
      </c>
      <c r="F18" s="19"/>
      <c r="I18" s="20" t="s">
        <v>58</v>
      </c>
      <c r="J18" s="12">
        <f>COUNTIF($A:$F, "*이효숙*")</f>
        <v>0</v>
      </c>
    </row>
    <row r="19">
      <c r="A19" s="102" t="s">
        <v>705</v>
      </c>
      <c r="B19" s="101" t="s">
        <v>31</v>
      </c>
      <c r="C19" s="243" t="s">
        <v>39</v>
      </c>
      <c r="D19" s="98" t="s">
        <v>47</v>
      </c>
      <c r="E19" s="87" t="s">
        <v>36</v>
      </c>
      <c r="F19" s="26"/>
      <c r="I19" s="20" t="s">
        <v>59</v>
      </c>
      <c r="J19" s="12">
        <f>COUNTIF($A:$F, "*이희영*")</f>
        <v>9</v>
      </c>
    </row>
    <row r="20">
      <c r="A20" s="70"/>
      <c r="B20" s="70"/>
      <c r="C20" s="40"/>
      <c r="D20" s="28"/>
      <c r="E20" s="70"/>
      <c r="F20" s="51"/>
      <c r="I20" s="20" t="s">
        <v>60</v>
      </c>
      <c r="J20" s="12">
        <f>COUNTIF($A:$F, "*장신혜*")</f>
        <v>6</v>
      </c>
    </row>
    <row r="21">
      <c r="A21" s="65"/>
      <c r="B21" s="65"/>
      <c r="C21" s="19"/>
      <c r="D21" s="28"/>
      <c r="E21" s="151"/>
      <c r="F21" s="51"/>
      <c r="I21" s="20" t="s">
        <v>61</v>
      </c>
      <c r="J21" s="12">
        <f>COUNTIF($A:$F, "*정지선*")</f>
        <v>2</v>
      </c>
    </row>
    <row r="22">
      <c r="A22" s="65"/>
      <c r="B22" s="70"/>
      <c r="C22" s="19"/>
      <c r="D22" s="19"/>
      <c r="E22" s="67" t="s">
        <v>82</v>
      </c>
      <c r="F22" s="44"/>
      <c r="I22" s="20" t="s">
        <v>62</v>
      </c>
      <c r="J22" s="12">
        <f>COUNTIF($A:$F, "*지명선*")</f>
        <v>4</v>
      </c>
    </row>
    <row r="23">
      <c r="A23" s="65"/>
      <c r="B23" s="70"/>
      <c r="C23" s="65"/>
      <c r="D23" s="19"/>
      <c r="E23" s="67" t="s">
        <v>84</v>
      </c>
      <c r="F23" s="44"/>
      <c r="I23" s="20" t="s">
        <v>63</v>
      </c>
      <c r="J23" s="12">
        <f>COUNTIF($A:$F, "*최은주*")</f>
        <v>0</v>
      </c>
    </row>
    <row r="24">
      <c r="A24" s="19"/>
      <c r="B24" s="70"/>
      <c r="C24" s="40"/>
      <c r="D24" s="28"/>
      <c r="E24" s="51"/>
      <c r="F24" s="51"/>
      <c r="I24" s="20" t="s">
        <v>65</v>
      </c>
      <c r="J24" s="12">
        <f>COUNTIF($A:$F, "*한 나*")</f>
        <v>4</v>
      </c>
    </row>
    <row r="25">
      <c r="A25" s="19"/>
      <c r="B25" s="28"/>
      <c r="C25" s="40"/>
      <c r="D25" s="28"/>
      <c r="E25" s="51"/>
      <c r="F25" s="51"/>
      <c r="I25" s="20" t="s">
        <v>66</v>
      </c>
      <c r="J25" s="12">
        <f>COUNTIF($A:$F, "*민현정*")</f>
        <v>0</v>
      </c>
    </row>
    <row r="26">
      <c r="A26" s="19"/>
      <c r="B26" s="28"/>
      <c r="C26" s="40"/>
      <c r="D26" s="19"/>
      <c r="E26" s="56"/>
      <c r="F26" s="51"/>
      <c r="I26" s="54" t="s">
        <v>44</v>
      </c>
      <c r="J26" s="38">
        <f>sum(J3:J25)</f>
        <v>71</v>
      </c>
    </row>
    <row r="27">
      <c r="A27" s="28"/>
      <c r="B27" s="19"/>
      <c r="C27" s="65"/>
      <c r="D27" s="19"/>
      <c r="E27" s="95"/>
      <c r="F27" s="51"/>
    </row>
    <row r="28">
      <c r="A28" s="19"/>
      <c r="B28" s="19"/>
      <c r="C28" s="65"/>
      <c r="D28" s="28"/>
      <c r="E28" s="95"/>
      <c r="F28" s="51"/>
    </row>
    <row r="29">
      <c r="A29" s="19"/>
      <c r="B29" s="19"/>
      <c r="C29" s="40"/>
      <c r="D29" s="28"/>
      <c r="E29" s="51"/>
      <c r="F29" s="51"/>
    </row>
    <row r="30">
      <c r="A30" s="70"/>
      <c r="B30" s="65"/>
      <c r="C30" s="40"/>
      <c r="D30" s="65"/>
      <c r="E30" s="40"/>
      <c r="F30" s="195"/>
    </row>
    <row r="31">
      <c r="A31" s="70"/>
      <c r="B31" s="28"/>
      <c r="C31" s="28"/>
      <c r="D31" s="65"/>
      <c r="E31" s="68"/>
      <c r="F31" s="195"/>
    </row>
    <row r="32">
      <c r="A32" s="70"/>
      <c r="B32" s="28"/>
      <c r="C32" s="69"/>
      <c r="D32" s="65"/>
      <c r="F32" s="195"/>
    </row>
    <row r="33">
      <c r="A33" s="70"/>
      <c r="B33" s="69"/>
      <c r="C33" s="69"/>
      <c r="D33" s="65"/>
      <c r="E33" s="40"/>
      <c r="F33" s="195"/>
    </row>
    <row r="34">
      <c r="A34" s="44"/>
      <c r="B34" s="45"/>
      <c r="C34" s="45"/>
      <c r="D34" s="44"/>
      <c r="E34" s="44"/>
      <c r="F34" s="195"/>
    </row>
    <row r="35">
      <c r="A35" s="230"/>
      <c r="B35" s="46"/>
      <c r="C35" s="46"/>
      <c r="D35" s="46"/>
      <c r="E35" s="46"/>
      <c r="F35" s="46"/>
    </row>
    <row r="36">
      <c r="A36" s="74"/>
      <c r="B36" s="75"/>
      <c r="C36" s="75"/>
      <c r="D36" s="75"/>
      <c r="E36" s="75"/>
      <c r="F36" s="75"/>
    </row>
    <row r="37">
      <c r="A37" s="76">
        <v>12.0</v>
      </c>
      <c r="B37" s="76">
        <v>13.0</v>
      </c>
      <c r="C37" s="76">
        <v>14.0</v>
      </c>
      <c r="D37" s="76">
        <v>15.0</v>
      </c>
      <c r="E37" s="76">
        <v>16.0</v>
      </c>
      <c r="F37" s="76">
        <v>17.0</v>
      </c>
    </row>
    <row r="38">
      <c r="A38" s="70"/>
      <c r="B38" s="98" t="s">
        <v>706</v>
      </c>
      <c r="C38" s="102" t="s">
        <v>226</v>
      </c>
      <c r="D38" s="99" t="s">
        <v>11</v>
      </c>
      <c r="E38" s="100" t="s">
        <v>12</v>
      </c>
      <c r="F38" s="19"/>
    </row>
    <row r="39">
      <c r="A39" s="126" t="s">
        <v>15</v>
      </c>
      <c r="B39" s="98" t="s">
        <v>707</v>
      </c>
      <c r="C39" s="102" t="s">
        <v>227</v>
      </c>
      <c r="D39" s="101" t="s">
        <v>18</v>
      </c>
      <c r="E39" s="100" t="s">
        <v>19</v>
      </c>
      <c r="F39" s="26"/>
    </row>
    <row r="40">
      <c r="A40" s="126" t="s">
        <v>241</v>
      </c>
      <c r="B40" s="65"/>
      <c r="C40" s="65"/>
      <c r="D40" s="27" t="s">
        <v>708</v>
      </c>
      <c r="E40" s="144" t="s">
        <v>98</v>
      </c>
      <c r="F40" s="195"/>
    </row>
    <row r="41">
      <c r="A41" s="65"/>
      <c r="B41" s="65"/>
      <c r="C41" s="19"/>
      <c r="D41" s="65"/>
      <c r="E41" s="104"/>
      <c r="F41" s="195"/>
    </row>
    <row r="42">
      <c r="A42" s="24"/>
      <c r="B42" s="33"/>
      <c r="C42" s="19"/>
      <c r="D42" s="104"/>
      <c r="E42" s="132"/>
      <c r="F42" s="195"/>
    </row>
    <row r="43">
      <c r="A43" s="23"/>
      <c r="B43" s="89" t="s">
        <v>709</v>
      </c>
      <c r="C43" s="24"/>
      <c r="D43" s="104"/>
      <c r="E43" s="40"/>
      <c r="F43" s="195"/>
    </row>
    <row r="44">
      <c r="A44" s="23"/>
      <c r="B44" s="89" t="s">
        <v>710</v>
      </c>
      <c r="C44" s="35"/>
      <c r="D44" s="28"/>
      <c r="E44" s="40"/>
      <c r="F44" s="195"/>
    </row>
    <row r="45">
      <c r="A45" s="23"/>
      <c r="B45" s="22"/>
      <c r="C45" s="35"/>
      <c r="D45" s="28"/>
      <c r="E45" s="70"/>
      <c r="F45" s="195"/>
    </row>
    <row r="46">
      <c r="A46" s="22"/>
      <c r="B46" s="33"/>
      <c r="C46" s="39" t="s">
        <v>48</v>
      </c>
      <c r="D46" s="19"/>
      <c r="E46" s="26"/>
      <c r="F46" s="195"/>
    </row>
    <row r="47">
      <c r="A47" s="28"/>
      <c r="B47" s="19"/>
      <c r="C47" s="39" t="s">
        <v>51</v>
      </c>
      <c r="D47" s="19"/>
      <c r="E47" s="28"/>
      <c r="F47" s="195"/>
    </row>
    <row r="48">
      <c r="A48" s="19"/>
      <c r="B48" s="19"/>
      <c r="C48" s="24"/>
      <c r="D48" s="28"/>
      <c r="E48" s="28"/>
      <c r="F48" s="195"/>
    </row>
    <row r="49">
      <c r="A49" s="19"/>
      <c r="B49" s="19"/>
      <c r="C49" s="35"/>
      <c r="D49" s="28"/>
      <c r="E49" s="40"/>
      <c r="F49" s="195"/>
    </row>
    <row r="50">
      <c r="A50" s="70"/>
      <c r="B50" s="65"/>
      <c r="C50" s="35"/>
      <c r="D50" s="65"/>
      <c r="E50" s="40"/>
      <c r="F50" s="195"/>
    </row>
    <row r="51">
      <c r="A51" s="70"/>
      <c r="B51" s="28"/>
      <c r="C51" s="28"/>
      <c r="D51" s="65"/>
      <c r="E51" s="68"/>
      <c r="F51" s="195"/>
    </row>
    <row r="52">
      <c r="A52" s="70"/>
      <c r="B52" s="28"/>
      <c r="C52" s="69"/>
      <c r="D52" s="65"/>
      <c r="F52" s="195"/>
    </row>
    <row r="53">
      <c r="A53" s="70"/>
      <c r="B53" s="69"/>
      <c r="C53" s="69"/>
      <c r="D53" s="65"/>
      <c r="E53" s="40"/>
      <c r="F53" s="195"/>
    </row>
    <row r="54">
      <c r="A54" s="44"/>
      <c r="B54" s="45"/>
      <c r="C54" s="45"/>
      <c r="D54" s="44"/>
      <c r="E54" s="44"/>
      <c r="F54" s="195"/>
    </row>
    <row r="55">
      <c r="A55" s="44"/>
      <c r="B55" s="95"/>
      <c r="C55" s="51"/>
      <c r="D55" s="51"/>
      <c r="E55" s="51"/>
      <c r="F55" s="51"/>
    </row>
    <row r="56">
      <c r="A56" s="10">
        <v>19.0</v>
      </c>
      <c r="B56" s="10">
        <v>20.0</v>
      </c>
      <c r="C56" s="10">
        <v>21.0</v>
      </c>
      <c r="D56" s="10">
        <v>22.0</v>
      </c>
      <c r="E56" s="10">
        <v>23.0</v>
      </c>
      <c r="F56" s="10">
        <v>24.0</v>
      </c>
    </row>
    <row r="57">
      <c r="A57" s="102" t="s">
        <v>704</v>
      </c>
      <c r="B57" s="99" t="s">
        <v>28</v>
      </c>
      <c r="C57" s="243" t="s">
        <v>35</v>
      </c>
      <c r="D57" s="98" t="s">
        <v>43</v>
      </c>
      <c r="E57" s="87" t="s">
        <v>32</v>
      </c>
      <c r="F57" s="19"/>
    </row>
    <row r="58">
      <c r="A58" s="102" t="s">
        <v>705</v>
      </c>
      <c r="B58" s="101" t="s">
        <v>31</v>
      </c>
      <c r="C58" s="243" t="s">
        <v>39</v>
      </c>
      <c r="D58" s="98" t="s">
        <v>47</v>
      </c>
      <c r="E58" s="87" t="s">
        <v>36</v>
      </c>
      <c r="F58" s="26"/>
    </row>
    <row r="59">
      <c r="A59" s="70"/>
      <c r="B59" s="27" t="s">
        <v>68</v>
      </c>
      <c r="C59" s="158" t="s">
        <v>711</v>
      </c>
      <c r="D59" s="244" t="s">
        <v>115</v>
      </c>
      <c r="E59" s="27" t="s">
        <v>112</v>
      </c>
      <c r="F59" s="51"/>
    </row>
    <row r="60">
      <c r="A60" s="65"/>
      <c r="B60" s="65"/>
      <c r="C60" s="19"/>
      <c r="D60" s="28"/>
      <c r="E60" s="27" t="s">
        <v>712</v>
      </c>
      <c r="F60" s="51"/>
    </row>
    <row r="61">
      <c r="A61" s="65"/>
      <c r="B61" s="70"/>
      <c r="C61" s="144" t="s">
        <v>460</v>
      </c>
      <c r="D61" s="19"/>
      <c r="E61" s="115"/>
      <c r="F61" s="44"/>
    </row>
    <row r="62">
      <c r="A62" s="65"/>
      <c r="B62" s="70"/>
      <c r="C62" s="144" t="s">
        <v>639</v>
      </c>
      <c r="D62" s="19"/>
      <c r="E62" s="115"/>
      <c r="F62" s="44"/>
    </row>
    <row r="63">
      <c r="A63" s="19"/>
      <c r="B63" s="70"/>
      <c r="C63" s="144" t="s">
        <v>640</v>
      </c>
      <c r="D63" s="28"/>
      <c r="E63" s="51"/>
      <c r="F63" s="51"/>
    </row>
    <row r="64">
      <c r="A64" s="19"/>
      <c r="B64" s="28"/>
      <c r="C64" s="40"/>
      <c r="D64" s="28"/>
      <c r="E64" s="51"/>
      <c r="F64" s="51"/>
    </row>
    <row r="65">
      <c r="A65" s="19"/>
      <c r="B65" s="28"/>
      <c r="C65" s="40"/>
      <c r="D65" s="19"/>
      <c r="E65" s="67" t="s">
        <v>82</v>
      </c>
      <c r="F65" s="51"/>
    </row>
    <row r="66">
      <c r="A66" s="28"/>
      <c r="B66" s="19"/>
      <c r="C66" s="65"/>
      <c r="D66" s="19"/>
      <c r="E66" s="67" t="s">
        <v>84</v>
      </c>
      <c r="F66" s="51"/>
    </row>
    <row r="67">
      <c r="A67" s="19"/>
      <c r="B67" s="19"/>
      <c r="C67" s="65"/>
      <c r="D67" s="28"/>
      <c r="E67" s="95"/>
      <c r="F67" s="51"/>
    </row>
    <row r="68">
      <c r="A68" s="19"/>
      <c r="B68" s="19"/>
      <c r="C68" s="40"/>
      <c r="D68" s="28"/>
      <c r="E68" s="51"/>
      <c r="F68" s="51"/>
    </row>
    <row r="69">
      <c r="A69" s="70"/>
      <c r="B69" s="65"/>
      <c r="C69" s="40"/>
      <c r="D69" s="65"/>
      <c r="E69" s="40"/>
      <c r="F69" s="195"/>
    </row>
    <row r="70">
      <c r="A70" s="70"/>
      <c r="B70" s="28"/>
      <c r="C70" s="28"/>
      <c r="D70" s="65"/>
      <c r="E70" s="68"/>
      <c r="F70" s="195"/>
    </row>
    <row r="71">
      <c r="A71" s="70"/>
      <c r="B71" s="28"/>
      <c r="C71" s="69"/>
      <c r="D71" s="65"/>
      <c r="F71" s="195"/>
    </row>
    <row r="72">
      <c r="A72" s="70"/>
      <c r="B72" s="69"/>
      <c r="C72" s="69"/>
      <c r="D72" s="65"/>
      <c r="E72" s="40"/>
      <c r="F72" s="195"/>
    </row>
    <row r="73">
      <c r="A73" s="44"/>
      <c r="B73" s="45"/>
      <c r="C73" s="45"/>
      <c r="D73" s="44"/>
      <c r="E73" s="44"/>
      <c r="F73" s="195"/>
    </row>
    <row r="74">
      <c r="A74" s="230"/>
      <c r="B74" s="46"/>
      <c r="C74" s="46"/>
      <c r="D74" s="46"/>
      <c r="E74" s="46"/>
      <c r="F74" s="46"/>
    </row>
    <row r="75">
      <c r="A75" s="74"/>
      <c r="B75" s="75"/>
      <c r="C75" s="75"/>
      <c r="D75" s="75"/>
      <c r="E75" s="75"/>
      <c r="F75" s="75"/>
    </row>
    <row r="76">
      <c r="A76" s="76">
        <v>26.0</v>
      </c>
      <c r="B76" s="76">
        <v>27.0</v>
      </c>
      <c r="C76" s="184">
        <v>28.0</v>
      </c>
      <c r="D76" s="184">
        <v>29.0</v>
      </c>
      <c r="E76" s="184">
        <v>30.0</v>
      </c>
      <c r="F76" s="76">
        <v>31.0</v>
      </c>
    </row>
    <row r="77">
      <c r="A77" s="27" t="s">
        <v>713</v>
      </c>
      <c r="B77" s="15" t="s">
        <v>714</v>
      </c>
      <c r="C77" s="89" t="s">
        <v>226</v>
      </c>
      <c r="D77" s="99" t="s">
        <v>11</v>
      </c>
      <c r="E77" s="100" t="s">
        <v>12</v>
      </c>
      <c r="F77" s="19"/>
    </row>
    <row r="78">
      <c r="A78" s="21" t="s">
        <v>54</v>
      </c>
      <c r="B78" s="15" t="s">
        <v>715</v>
      </c>
      <c r="C78" s="89" t="s">
        <v>227</v>
      </c>
      <c r="D78" s="101" t="s">
        <v>18</v>
      </c>
      <c r="E78" s="100" t="s">
        <v>19</v>
      </c>
      <c r="F78" s="26"/>
    </row>
    <row r="79">
      <c r="A79" s="21" t="s">
        <v>56</v>
      </c>
      <c r="B79" s="244" t="s">
        <v>716</v>
      </c>
      <c r="C79" s="24"/>
      <c r="D79" s="27" t="s">
        <v>708</v>
      </c>
      <c r="E79" s="144" t="s">
        <v>98</v>
      </c>
      <c r="F79" s="195"/>
    </row>
    <row r="80">
      <c r="A80" s="27" t="s">
        <v>717</v>
      </c>
      <c r="B80" s="24"/>
      <c r="C80" s="22"/>
      <c r="D80" s="65"/>
      <c r="E80" s="104"/>
      <c r="F80" s="195"/>
    </row>
    <row r="81">
      <c r="A81" s="24"/>
      <c r="B81" s="29" t="s">
        <v>28</v>
      </c>
      <c r="C81" s="22"/>
      <c r="D81" s="245" t="s">
        <v>43</v>
      </c>
      <c r="E81" s="132"/>
      <c r="F81" s="195"/>
    </row>
    <row r="82">
      <c r="A82" s="24"/>
      <c r="B82" s="27" t="s">
        <v>31</v>
      </c>
      <c r="C82" s="24"/>
      <c r="D82" s="245" t="s">
        <v>47</v>
      </c>
      <c r="E82" s="40"/>
      <c r="F82" s="195"/>
    </row>
    <row r="83">
      <c r="A83" s="163" t="s">
        <v>48</v>
      </c>
      <c r="B83" s="27" t="s">
        <v>68</v>
      </c>
      <c r="C83" s="246"/>
      <c r="D83" s="244" t="s">
        <v>115</v>
      </c>
      <c r="E83" s="40"/>
      <c r="F83" s="195"/>
    </row>
    <row r="84">
      <c r="A84" s="163" t="s">
        <v>51</v>
      </c>
      <c r="B84" s="23"/>
      <c r="C84" s="246"/>
      <c r="D84" s="28"/>
      <c r="E84" s="70"/>
      <c r="F84" s="195"/>
    </row>
    <row r="85">
      <c r="A85" s="23"/>
      <c r="B85" s="33"/>
      <c r="C85" s="35"/>
      <c r="D85" s="19"/>
      <c r="E85" s="26"/>
      <c r="F85" s="195"/>
    </row>
    <row r="86">
      <c r="A86" s="22"/>
      <c r="B86" s="22"/>
      <c r="C86" s="24"/>
      <c r="D86" s="19"/>
      <c r="E86" s="28"/>
      <c r="F86" s="195"/>
    </row>
    <row r="87">
      <c r="A87" s="19"/>
      <c r="B87" s="19"/>
      <c r="C87" s="65"/>
      <c r="D87" s="28"/>
      <c r="E87" s="28"/>
      <c r="F87" s="195"/>
    </row>
    <row r="88">
      <c r="A88" s="19"/>
      <c r="B88" s="19"/>
      <c r="C88" s="40"/>
      <c r="D88" s="28"/>
      <c r="E88" s="40"/>
      <c r="F88" s="195"/>
    </row>
    <row r="89">
      <c r="A89" s="70"/>
      <c r="B89" s="65"/>
      <c r="C89" s="40"/>
      <c r="D89" s="65"/>
      <c r="E89" s="40"/>
      <c r="F89" s="195"/>
    </row>
    <row r="90">
      <c r="A90" s="70"/>
      <c r="B90" s="28"/>
      <c r="C90" s="28"/>
      <c r="D90" s="65"/>
      <c r="E90" s="68"/>
      <c r="F90" s="195"/>
    </row>
    <row r="91">
      <c r="A91" s="70"/>
      <c r="B91" s="28"/>
      <c r="C91" s="69"/>
      <c r="D91" s="65"/>
      <c r="F91" s="195"/>
    </row>
    <row r="92">
      <c r="A92" s="70"/>
      <c r="B92" s="69"/>
      <c r="C92" s="69"/>
      <c r="D92" s="65"/>
      <c r="E92" s="40"/>
      <c r="F92" s="195"/>
    </row>
    <row r="93">
      <c r="A93" s="44"/>
      <c r="B93" s="45"/>
      <c r="C93" s="45"/>
      <c r="D93" s="44"/>
      <c r="E93" s="44"/>
      <c r="F93" s="195"/>
    </row>
    <row r="94">
      <c r="A94" s="44"/>
      <c r="B94" s="95"/>
      <c r="C94" s="51"/>
      <c r="D94" s="51"/>
      <c r="E94" s="51"/>
      <c r="F94" s="51"/>
    </row>
  </sheetData>
  <mergeCells count="2">
    <mergeCell ref="A1:F1"/>
    <mergeCell ref="D4:F4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29.71"/>
    <col customWidth="1" min="3" max="3" width="29.43"/>
    <col customWidth="1" min="4" max="4" width="29.29"/>
    <col customWidth="1" min="5" max="5" width="28.71"/>
    <col customWidth="1" min="6" max="6" width="22.86"/>
    <col customWidth="1" min="7" max="7" width="9.57"/>
    <col customWidth="1" min="8" max="8" width="3.29"/>
    <col customWidth="1" min="9" max="9" width="7.43"/>
    <col customWidth="1" min="10" max="10" width="3.29"/>
  </cols>
  <sheetData>
    <row r="1">
      <c r="A1" s="1">
        <v>46054.0</v>
      </c>
      <c r="B1" s="2"/>
      <c r="C1" s="2"/>
      <c r="D1" s="2"/>
      <c r="E1" s="2"/>
      <c r="F1" s="3"/>
    </row>
    <row r="2">
      <c r="A2" s="136" t="s">
        <v>718</v>
      </c>
      <c r="B2" s="137" t="s">
        <v>719</v>
      </c>
      <c r="C2" s="137" t="s">
        <v>720</v>
      </c>
      <c r="D2" s="137" t="s">
        <v>721</v>
      </c>
      <c r="E2" s="138" t="s">
        <v>722</v>
      </c>
      <c r="F2" s="191" t="s">
        <v>5</v>
      </c>
    </row>
    <row r="3">
      <c r="A3" s="192">
        <v>2.0</v>
      </c>
      <c r="B3" s="9">
        <v>3.0</v>
      </c>
      <c r="C3" s="10">
        <v>4.0</v>
      </c>
      <c r="D3" s="9">
        <v>5.0</v>
      </c>
      <c r="E3" s="97">
        <v>6.0</v>
      </c>
      <c r="F3" s="9">
        <v>7.0</v>
      </c>
      <c r="G3" s="11" t="s">
        <v>6</v>
      </c>
      <c r="H3" s="12">
        <f>COUNTIF($A:$F, "*진로개발*")</f>
        <v>12</v>
      </c>
      <c r="I3" s="13" t="s">
        <v>7</v>
      </c>
      <c r="J3" s="12">
        <f>COUNTIF($A:$F, "*강 진*")</f>
        <v>4</v>
      </c>
    </row>
    <row r="4">
      <c r="A4" s="247" t="s">
        <v>8</v>
      </c>
      <c r="B4" s="98" t="s">
        <v>723</v>
      </c>
      <c r="C4" s="23"/>
      <c r="D4" s="99" t="s">
        <v>11</v>
      </c>
      <c r="E4" s="87" t="s">
        <v>32</v>
      </c>
      <c r="F4" s="19"/>
      <c r="G4" s="11" t="s">
        <v>13</v>
      </c>
      <c r="H4" s="12">
        <f>COUNTIF($A:$F, "*서류면접*")</f>
        <v>11</v>
      </c>
      <c r="I4" s="20" t="s">
        <v>14</v>
      </c>
      <c r="J4" s="12">
        <f>COUNTIF($A:$F, "*김나영*")</f>
        <v>3</v>
      </c>
    </row>
    <row r="5">
      <c r="A5" s="126" t="s">
        <v>15</v>
      </c>
      <c r="B5" s="15" t="s">
        <v>724</v>
      </c>
      <c r="C5" s="23"/>
      <c r="D5" s="101" t="s">
        <v>18</v>
      </c>
      <c r="E5" s="87" t="s">
        <v>36</v>
      </c>
      <c r="F5" s="26"/>
      <c r="G5" s="11" t="s">
        <v>20</v>
      </c>
      <c r="H5" s="12">
        <f>COUNTIF($A:$F, "*공기업*")</f>
        <v>2</v>
      </c>
      <c r="I5" s="20" t="s">
        <v>21</v>
      </c>
      <c r="J5" s="12">
        <f>COUNTIF($A:$F, "*김미령*")</f>
        <v>0</v>
      </c>
    </row>
    <row r="6">
      <c r="A6" s="14" t="s">
        <v>241</v>
      </c>
      <c r="B6" s="244" t="s">
        <v>716</v>
      </c>
      <c r="C6" s="24"/>
      <c r="D6" s="27" t="s">
        <v>708</v>
      </c>
      <c r="E6" s="31" t="s">
        <v>112</v>
      </c>
      <c r="F6" s="26"/>
      <c r="G6" s="11" t="s">
        <v>22</v>
      </c>
      <c r="H6" s="12">
        <f>COUNTIF($A:$F, "*외국계*")</f>
        <v>2</v>
      </c>
      <c r="I6" s="20" t="s">
        <v>23</v>
      </c>
      <c r="J6" s="12">
        <f>COUNTIF($A:$F, "*김민경*")</f>
        <v>0</v>
      </c>
    </row>
    <row r="7">
      <c r="A7" s="23"/>
      <c r="B7" s="24"/>
      <c r="C7" s="158" t="s">
        <v>725</v>
      </c>
      <c r="D7" s="65"/>
      <c r="E7" s="25"/>
      <c r="F7" s="28"/>
      <c r="G7" s="11" t="s">
        <v>25</v>
      </c>
      <c r="H7" s="12">
        <f>COUNTIF($A:$F, "*이공계*")</f>
        <v>3</v>
      </c>
      <c r="I7" s="20" t="s">
        <v>26</v>
      </c>
      <c r="J7" s="12">
        <f>COUNTIF($A:$F, "*김선화*")</f>
        <v>3</v>
      </c>
    </row>
    <row r="8">
      <c r="A8" s="23"/>
      <c r="B8" s="17" t="s">
        <v>28</v>
      </c>
      <c r="C8" s="32" t="s">
        <v>35</v>
      </c>
      <c r="D8" s="98" t="s">
        <v>43</v>
      </c>
      <c r="E8" s="35"/>
      <c r="F8" s="19"/>
      <c r="G8" s="11" t="s">
        <v>29</v>
      </c>
      <c r="H8" s="12">
        <f>COUNTIF($A:$F, "*콘텐츠*")</f>
        <v>0</v>
      </c>
      <c r="I8" s="20" t="s">
        <v>30</v>
      </c>
      <c r="J8" s="12">
        <f>COUNTIF($A:$F, "*김세희*")</f>
        <v>0</v>
      </c>
    </row>
    <row r="9">
      <c r="A9" s="23"/>
      <c r="B9" s="21" t="s">
        <v>31</v>
      </c>
      <c r="C9" s="32" t="s">
        <v>39</v>
      </c>
      <c r="D9" s="98" t="s">
        <v>47</v>
      </c>
      <c r="E9" s="31" t="s">
        <v>726</v>
      </c>
      <c r="F9" s="19"/>
      <c r="G9" s="11" t="s">
        <v>33</v>
      </c>
      <c r="H9" s="12">
        <f>COUNTIF($A:$F, "*금융*")</f>
        <v>0</v>
      </c>
      <c r="I9" s="20" t="s">
        <v>34</v>
      </c>
      <c r="J9" s="12">
        <f>COUNTIF($A:$F, "*김지현*")</f>
        <v>0</v>
      </c>
    </row>
    <row r="10">
      <c r="A10" s="23"/>
      <c r="B10" s="27" t="s">
        <v>68</v>
      </c>
      <c r="C10" s="158" t="s">
        <v>711</v>
      </c>
      <c r="D10" s="244" t="s">
        <v>115</v>
      </c>
      <c r="E10" s="31" t="s">
        <v>727</v>
      </c>
      <c r="F10" s="19"/>
      <c r="G10" s="34" t="s">
        <v>37</v>
      </c>
      <c r="H10" s="12">
        <f>COUNTIF($A:$F, "*IT*")</f>
        <v>0</v>
      </c>
      <c r="I10" s="20" t="s">
        <v>38</v>
      </c>
      <c r="J10" s="12">
        <f>COUNTIF($A:$F, "*범하나*")</f>
        <v>4</v>
      </c>
    </row>
    <row r="11">
      <c r="A11" s="23"/>
      <c r="B11" s="33"/>
      <c r="C11" s="246"/>
      <c r="D11" s="19"/>
      <c r="E11" s="31" t="s">
        <v>54</v>
      </c>
      <c r="F11" s="19"/>
      <c r="G11" s="11" t="s">
        <v>40</v>
      </c>
      <c r="H11" s="12">
        <f>COUNTIF($A:$F, "*임원면접*")</f>
        <v>0</v>
      </c>
      <c r="I11" s="20" t="s">
        <v>41</v>
      </c>
      <c r="J11" s="12">
        <f>COUNTIF($A:$F, "*성지우*")</f>
        <v>2</v>
      </c>
    </row>
    <row r="12">
      <c r="A12" s="19"/>
      <c r="B12" s="28"/>
      <c r="C12" s="246"/>
      <c r="E12" s="31" t="s">
        <v>56</v>
      </c>
      <c r="F12" s="28"/>
      <c r="G12" s="37" t="s">
        <v>44</v>
      </c>
      <c r="H12" s="38">
        <f>sum(H3:H11)</f>
        <v>30</v>
      </c>
      <c r="I12" s="20" t="s">
        <v>45</v>
      </c>
      <c r="J12" s="12">
        <f>COUNTIF($A:$F, "*신민이*")</f>
        <v>5</v>
      </c>
    </row>
    <row r="13">
      <c r="A13" s="28"/>
      <c r="B13" s="19"/>
      <c r="C13" s="65"/>
      <c r="D13" s="19"/>
      <c r="E13" s="33"/>
      <c r="F13" s="19"/>
      <c r="I13" s="20" t="s">
        <v>49</v>
      </c>
      <c r="J13" s="12">
        <f>COUNTIF($A:$F, "*심영섭*")</f>
        <v>3</v>
      </c>
    </row>
    <row r="14">
      <c r="A14" s="19"/>
      <c r="B14" s="19"/>
      <c r="C14" s="65"/>
      <c r="D14" s="28"/>
      <c r="E14" s="28"/>
      <c r="F14" s="19"/>
      <c r="I14" s="20" t="s">
        <v>52</v>
      </c>
      <c r="J14" s="12">
        <f>COUNTIF($A:$F, "*양우석*")</f>
        <v>0</v>
      </c>
    </row>
    <row r="15">
      <c r="A15" s="19"/>
      <c r="B15" s="19"/>
      <c r="C15" s="40"/>
      <c r="D15" s="28"/>
      <c r="E15" s="40"/>
      <c r="F15" s="19"/>
      <c r="I15" s="20" t="s">
        <v>53</v>
      </c>
      <c r="J15" s="12">
        <f>COUNTIF($A:$F, "*이상환*")</f>
        <v>0</v>
      </c>
    </row>
    <row r="16">
      <c r="A16" s="70"/>
      <c r="B16" s="65"/>
      <c r="C16" s="40"/>
      <c r="D16" s="65"/>
      <c r="E16" s="40"/>
      <c r="F16" s="19"/>
      <c r="I16" s="20" t="s">
        <v>55</v>
      </c>
      <c r="J16" s="12">
        <f>COUNTIF($A:$F, "*이주환*")</f>
        <v>0</v>
      </c>
    </row>
    <row r="17">
      <c r="A17" s="70"/>
      <c r="B17" s="28"/>
      <c r="C17" s="28"/>
      <c r="D17" s="65"/>
      <c r="E17" s="68"/>
      <c r="F17" s="41"/>
      <c r="I17" s="20" t="s">
        <v>57</v>
      </c>
      <c r="J17" s="12">
        <f>COUNTIF($A:$F, "*이하영*")</f>
        <v>0</v>
      </c>
    </row>
    <row r="18">
      <c r="A18" s="70"/>
      <c r="B18" s="28"/>
      <c r="C18" s="69"/>
      <c r="D18" s="65"/>
      <c r="F18" s="41"/>
      <c r="I18" s="20" t="s">
        <v>58</v>
      </c>
      <c r="J18" s="12">
        <f>COUNTIF($A:$F, "*이효숙*")</f>
        <v>0</v>
      </c>
    </row>
    <row r="19">
      <c r="A19" s="70"/>
      <c r="B19" s="69"/>
      <c r="C19" s="69"/>
      <c r="D19" s="65"/>
      <c r="E19" s="40"/>
      <c r="F19" s="19"/>
      <c r="I19" s="20" t="s">
        <v>59</v>
      </c>
      <c r="J19" s="12">
        <f>COUNTIF($A:$F, "*이희영*")</f>
        <v>0</v>
      </c>
    </row>
    <row r="20">
      <c r="A20" s="75"/>
      <c r="B20" s="75"/>
      <c r="C20" s="75"/>
      <c r="D20" s="75"/>
      <c r="E20" s="75"/>
      <c r="F20" s="75"/>
      <c r="I20" s="20" t="s">
        <v>60</v>
      </c>
      <c r="J20" s="12">
        <f>COUNTIF($A:$F, "*장신혜*")</f>
        <v>3</v>
      </c>
    </row>
    <row r="21">
      <c r="A21" s="9">
        <v>9.0</v>
      </c>
      <c r="B21" s="76">
        <v>10.0</v>
      </c>
      <c r="C21" s="76">
        <v>11.0</v>
      </c>
      <c r="D21" s="76">
        <v>12.0</v>
      </c>
      <c r="E21" s="76">
        <v>13.0</v>
      </c>
      <c r="F21" s="76">
        <v>14.0</v>
      </c>
      <c r="I21" s="20" t="s">
        <v>61</v>
      </c>
      <c r="J21" s="12">
        <f>COUNTIF($A:$F, "*정지선*")</f>
        <v>3</v>
      </c>
    </row>
    <row r="22">
      <c r="A22" s="23"/>
      <c r="B22" s="15" t="s">
        <v>728</v>
      </c>
      <c r="C22" s="35"/>
      <c r="D22" s="70"/>
      <c r="E22" s="44"/>
      <c r="F22" s="195"/>
      <c r="I22" s="20" t="s">
        <v>62</v>
      </c>
      <c r="J22" s="12">
        <f>COUNTIF($A:$F, "*지명선*")</f>
        <v>0</v>
      </c>
    </row>
    <row r="23">
      <c r="A23" s="23"/>
      <c r="B23" s="15" t="s">
        <v>729</v>
      </c>
      <c r="C23" s="35"/>
      <c r="D23" s="70"/>
      <c r="E23" s="44"/>
      <c r="F23" s="195"/>
      <c r="I23" s="20" t="s">
        <v>63</v>
      </c>
      <c r="J23" s="12">
        <f>COUNTIF($A:$F, "*최은주*")</f>
        <v>0</v>
      </c>
    </row>
    <row r="24">
      <c r="A24" s="22"/>
      <c r="B24" s="23"/>
      <c r="C24" s="24"/>
      <c r="D24" s="70"/>
      <c r="E24" s="51"/>
      <c r="F24" s="195"/>
      <c r="I24" s="20" t="s">
        <v>65</v>
      </c>
      <c r="J24" s="12">
        <f>COUNTIF($A:$F, "*한 나*")</f>
        <v>0</v>
      </c>
    </row>
    <row r="25">
      <c r="A25" s="23"/>
      <c r="B25" s="24"/>
      <c r="C25" s="22"/>
      <c r="D25" s="65"/>
      <c r="E25" s="51"/>
      <c r="F25" s="195"/>
      <c r="I25" s="20" t="s">
        <v>66</v>
      </c>
      <c r="J25" s="12">
        <f>COUNTIF($A:$F, "*민현정*")</f>
        <v>0</v>
      </c>
    </row>
    <row r="26">
      <c r="A26" s="23"/>
      <c r="B26" s="163" t="s">
        <v>48</v>
      </c>
      <c r="C26" s="35"/>
      <c r="D26" s="104"/>
      <c r="F26" s="195"/>
      <c r="I26" s="54" t="s">
        <v>44</v>
      </c>
      <c r="J26" s="38">
        <f>sum(J3:J25)</f>
        <v>30</v>
      </c>
    </row>
    <row r="27">
      <c r="A27" s="22"/>
      <c r="B27" s="163" t="s">
        <v>51</v>
      </c>
      <c r="C27" s="35"/>
      <c r="D27" s="104"/>
      <c r="E27" s="151"/>
      <c r="F27" s="195"/>
    </row>
    <row r="28">
      <c r="A28" s="23"/>
      <c r="B28" s="23"/>
      <c r="C28" s="35"/>
      <c r="D28" s="28"/>
      <c r="E28" s="151"/>
      <c r="F28" s="195"/>
    </row>
    <row r="29">
      <c r="A29" s="23"/>
      <c r="B29" s="23"/>
      <c r="C29" s="35"/>
      <c r="D29" s="28"/>
      <c r="E29" s="151"/>
      <c r="F29" s="195"/>
    </row>
    <row r="30">
      <c r="A30" s="22"/>
      <c r="B30" s="33"/>
      <c r="C30" s="35"/>
      <c r="D30" s="19"/>
      <c r="E30" s="51"/>
      <c r="F30" s="195"/>
    </row>
    <row r="31">
      <c r="A31" s="33"/>
      <c r="B31" s="22"/>
      <c r="C31" s="24"/>
      <c r="D31" s="19"/>
      <c r="E31" s="51"/>
      <c r="F31" s="195"/>
    </row>
    <row r="32">
      <c r="A32" s="19"/>
      <c r="B32" s="19"/>
      <c r="C32" s="65"/>
      <c r="D32" s="95"/>
      <c r="E32" s="56"/>
      <c r="F32" s="195"/>
    </row>
    <row r="33">
      <c r="A33" s="19"/>
      <c r="B33" s="19"/>
      <c r="C33" s="40"/>
      <c r="D33" s="51"/>
      <c r="E33" s="56"/>
      <c r="F33" s="195"/>
    </row>
    <row r="34">
      <c r="A34" s="70"/>
      <c r="B34" s="65"/>
      <c r="C34" s="40"/>
      <c r="D34" s="40"/>
      <c r="E34" s="248"/>
      <c r="F34" s="249"/>
    </row>
    <row r="35">
      <c r="A35" s="70"/>
      <c r="B35" s="28"/>
      <c r="C35" s="28"/>
      <c r="D35" s="196"/>
      <c r="E35" s="248"/>
      <c r="F35" s="249"/>
    </row>
    <row r="36">
      <c r="A36" s="70"/>
      <c r="B36" s="45"/>
      <c r="C36" s="45"/>
      <c r="D36" s="248"/>
      <c r="E36" s="196"/>
      <c r="F36" s="248"/>
    </row>
    <row r="37">
      <c r="A37" s="148"/>
      <c r="B37" s="45"/>
      <c r="C37" s="45"/>
      <c r="D37" s="196"/>
      <c r="E37" s="196"/>
      <c r="F37" s="196"/>
    </row>
    <row r="38">
      <c r="A38" s="250"/>
      <c r="B38" s="251"/>
      <c r="C38" s="251"/>
      <c r="D38" s="252"/>
      <c r="E38" s="196"/>
      <c r="F38" s="45"/>
    </row>
    <row r="39">
      <c r="A39" s="148">
        <v>16.0</v>
      </c>
      <c r="B39" s="63">
        <v>17.0</v>
      </c>
      <c r="C39" s="63">
        <v>18.0</v>
      </c>
      <c r="D39" s="10">
        <v>19.0</v>
      </c>
      <c r="E39" s="10">
        <v>20.0</v>
      </c>
      <c r="F39" s="10">
        <v>21.0</v>
      </c>
    </row>
    <row r="40">
      <c r="A40" s="253" t="s">
        <v>730</v>
      </c>
      <c r="B40" s="72"/>
      <c r="C40" s="73"/>
      <c r="D40" s="71" t="s">
        <v>731</v>
      </c>
      <c r="E40" s="72"/>
      <c r="F40" s="73"/>
    </row>
    <row r="41">
      <c r="A41" s="48"/>
      <c r="B41" s="48"/>
      <c r="C41" s="48"/>
      <c r="D41" s="48"/>
      <c r="E41" s="48"/>
      <c r="F41" s="195"/>
    </row>
    <row r="42">
      <c r="A42" s="48"/>
      <c r="B42" s="48"/>
      <c r="C42" s="48"/>
      <c r="D42" s="48"/>
      <c r="E42" s="48"/>
      <c r="F42" s="195"/>
    </row>
    <row r="43">
      <c r="A43" s="48"/>
      <c r="B43" s="48"/>
      <c r="C43" s="48"/>
      <c r="D43" s="48"/>
      <c r="E43" s="48"/>
      <c r="F43" s="195"/>
    </row>
    <row r="44">
      <c r="A44" s="48"/>
      <c r="B44" s="48"/>
      <c r="C44" s="48"/>
      <c r="D44" s="48"/>
      <c r="E44" s="48"/>
      <c r="F44" s="195"/>
    </row>
    <row r="45">
      <c r="A45" s="48"/>
      <c r="B45" s="48"/>
      <c r="C45" s="48"/>
      <c r="D45" s="48"/>
      <c r="E45" s="48"/>
      <c r="F45" s="195"/>
    </row>
    <row r="46">
      <c r="A46" s="48"/>
      <c r="B46" s="48"/>
      <c r="C46" s="48"/>
      <c r="D46" s="48"/>
      <c r="E46" s="48"/>
      <c r="F46" s="195"/>
    </row>
    <row r="47">
      <c r="A47" s="48"/>
      <c r="B47" s="48"/>
      <c r="C47" s="48"/>
      <c r="D47" s="48"/>
      <c r="E47" s="48"/>
      <c r="F47" s="195"/>
    </row>
    <row r="48">
      <c r="A48" s="48"/>
      <c r="B48" s="48"/>
      <c r="C48" s="48"/>
      <c r="D48" s="48"/>
      <c r="E48" s="48"/>
      <c r="F48" s="195"/>
    </row>
    <row r="49">
      <c r="A49" s="48"/>
      <c r="B49" s="48"/>
      <c r="C49" s="48"/>
      <c r="D49" s="48"/>
      <c r="E49" s="48"/>
      <c r="F49" s="195"/>
    </row>
    <row r="50">
      <c r="A50" s="48"/>
      <c r="B50" s="48"/>
      <c r="C50" s="48"/>
      <c r="D50" s="48"/>
      <c r="E50" s="48"/>
      <c r="F50" s="195"/>
    </row>
    <row r="51">
      <c r="A51" s="48"/>
      <c r="B51" s="48"/>
      <c r="C51" s="48"/>
      <c r="D51" s="48"/>
      <c r="E51" s="48"/>
      <c r="F51" s="195"/>
    </row>
    <row r="52">
      <c r="A52" s="48"/>
      <c r="B52" s="48"/>
      <c r="C52" s="48"/>
      <c r="D52" s="48"/>
      <c r="E52" s="48"/>
      <c r="F52" s="195"/>
    </row>
    <row r="53">
      <c r="A53" s="48"/>
      <c r="B53" s="48"/>
      <c r="C53" s="48"/>
      <c r="D53" s="48"/>
      <c r="E53" s="48"/>
      <c r="F53" s="195"/>
    </row>
    <row r="54">
      <c r="A54" s="48"/>
      <c r="B54" s="48"/>
      <c r="C54" s="48"/>
      <c r="D54" s="47"/>
      <c r="E54" s="56"/>
      <c r="F54" s="195"/>
    </row>
    <row r="55">
      <c r="A55" s="48"/>
      <c r="B55" s="48"/>
      <c r="C55" s="48"/>
      <c r="D55" s="47"/>
      <c r="E55" s="47"/>
      <c r="F55" s="195"/>
    </row>
    <row r="56">
      <c r="A56" s="48"/>
      <c r="B56" s="48"/>
      <c r="C56" s="48"/>
      <c r="D56" s="48"/>
      <c r="E56" s="48"/>
      <c r="F56" s="195"/>
    </row>
    <row r="57">
      <c r="A57" s="45"/>
      <c r="B57" s="45"/>
      <c r="C57" s="45"/>
      <c r="D57" s="45"/>
      <c r="E57" s="45"/>
      <c r="F57" s="195"/>
    </row>
    <row r="58">
      <c r="A58" s="230"/>
      <c r="B58" s="75"/>
      <c r="C58" s="75"/>
      <c r="D58" s="75"/>
      <c r="E58" s="75"/>
      <c r="F58" s="75"/>
    </row>
    <row r="59">
      <c r="A59" s="10">
        <v>23.0</v>
      </c>
      <c r="B59" s="8">
        <v>24.0</v>
      </c>
      <c r="C59" s="76">
        <v>25.0</v>
      </c>
      <c r="D59" s="8">
        <v>26.0</v>
      </c>
      <c r="E59" s="8">
        <v>27.0</v>
      </c>
      <c r="F59" s="8">
        <v>28.0</v>
      </c>
    </row>
    <row r="60">
      <c r="A60" s="71" t="s">
        <v>731</v>
      </c>
      <c r="B60" s="72"/>
      <c r="C60" s="72"/>
      <c r="D60" s="72"/>
      <c r="E60" s="72"/>
      <c r="F60" s="73"/>
    </row>
    <row r="61">
      <c r="A61" s="48"/>
      <c r="B61" s="48"/>
      <c r="C61" s="48"/>
      <c r="D61" s="48"/>
      <c r="E61" s="47"/>
      <c r="F61" s="47"/>
    </row>
    <row r="62">
      <c r="A62" s="48"/>
      <c r="B62" s="48"/>
      <c r="C62" s="48"/>
      <c r="D62" s="48"/>
      <c r="E62" s="47"/>
      <c r="F62" s="47"/>
    </row>
    <row r="63">
      <c r="A63" s="48"/>
      <c r="B63" s="48"/>
      <c r="C63" s="48"/>
      <c r="D63" s="48"/>
      <c r="E63" s="47"/>
      <c r="F63" s="47"/>
    </row>
    <row r="64">
      <c r="A64" s="48"/>
      <c r="B64" s="48"/>
      <c r="C64" s="48"/>
      <c r="D64" s="48"/>
      <c r="E64" s="47"/>
      <c r="F64" s="47"/>
    </row>
    <row r="65">
      <c r="A65" s="48"/>
      <c r="B65" s="48"/>
      <c r="C65" s="48"/>
      <c r="D65" s="48"/>
      <c r="E65" s="47"/>
      <c r="F65" s="47"/>
    </row>
    <row r="66">
      <c r="A66" s="48"/>
      <c r="B66" s="48"/>
      <c r="C66" s="48"/>
      <c r="D66" s="48"/>
      <c r="E66" s="47"/>
      <c r="F66" s="47"/>
    </row>
    <row r="67">
      <c r="A67" s="48"/>
      <c r="B67" s="48"/>
      <c r="C67" s="48"/>
      <c r="D67" s="48"/>
      <c r="E67" s="47"/>
      <c r="F67" s="47"/>
    </row>
    <row r="68">
      <c r="A68" s="48"/>
      <c r="B68" s="48"/>
      <c r="C68" s="48"/>
      <c r="D68" s="48"/>
      <c r="E68" s="47"/>
      <c r="F68" s="47"/>
    </row>
    <row r="69">
      <c r="A69" s="48"/>
      <c r="B69" s="48"/>
      <c r="C69" s="48"/>
      <c r="D69" s="48"/>
      <c r="E69" s="47"/>
      <c r="F69" s="47"/>
    </row>
    <row r="70">
      <c r="A70" s="48"/>
      <c r="B70" s="48"/>
      <c r="C70" s="48"/>
      <c r="D70" s="48"/>
      <c r="E70" s="47"/>
      <c r="F70" s="47"/>
    </row>
    <row r="71">
      <c r="A71" s="48"/>
      <c r="B71" s="48"/>
      <c r="C71" s="48"/>
      <c r="D71" s="48"/>
      <c r="E71" s="146"/>
      <c r="F71" s="47"/>
    </row>
    <row r="72">
      <c r="A72" s="48"/>
      <c r="B72" s="48"/>
      <c r="C72" s="48"/>
      <c r="D72" s="48"/>
      <c r="E72" s="146"/>
      <c r="F72" s="47"/>
    </row>
    <row r="73">
      <c r="A73" s="48"/>
      <c r="B73" s="48"/>
      <c r="C73" s="48"/>
      <c r="D73" s="48"/>
      <c r="E73" s="51"/>
      <c r="F73" s="47"/>
    </row>
    <row r="74">
      <c r="A74" s="48"/>
      <c r="B74" s="48"/>
      <c r="C74" s="48"/>
      <c r="D74" s="48"/>
      <c r="E74" s="47"/>
      <c r="F74" s="47"/>
    </row>
    <row r="75">
      <c r="A75" s="48"/>
      <c r="B75" s="48"/>
      <c r="C75" s="48"/>
      <c r="D75" s="48"/>
      <c r="E75" s="47"/>
      <c r="F75" s="47"/>
    </row>
    <row r="76">
      <c r="A76" s="48"/>
      <c r="B76" s="48"/>
      <c r="C76" s="48"/>
      <c r="D76" s="48"/>
      <c r="E76" s="47"/>
      <c r="F76" s="47"/>
    </row>
    <row r="77">
      <c r="A77" s="48"/>
      <c r="B77" s="48"/>
      <c r="C77" s="48"/>
      <c r="D77" s="48"/>
      <c r="E77" s="47"/>
      <c r="F77" s="47"/>
    </row>
    <row r="78">
      <c r="A78" s="45"/>
      <c r="B78" s="45"/>
      <c r="C78" s="45"/>
      <c r="D78" s="146"/>
      <c r="E78" s="47"/>
      <c r="F78" s="47"/>
    </row>
    <row r="79">
      <c r="A79" s="45"/>
      <c r="B79" s="45"/>
      <c r="C79" s="45"/>
      <c r="D79" s="146"/>
      <c r="E79" s="47"/>
      <c r="F79" s="47"/>
    </row>
    <row r="80">
      <c r="A80" s="46"/>
      <c r="B80" s="46"/>
      <c r="C80" s="254"/>
      <c r="D80" s="254"/>
      <c r="E80" s="47"/>
      <c r="F80" s="47"/>
    </row>
    <row r="81">
      <c r="A81" s="75"/>
      <c r="B81" s="75"/>
      <c r="C81" s="75"/>
      <c r="D81" s="75"/>
      <c r="E81" s="183"/>
      <c r="F81" s="183"/>
    </row>
  </sheetData>
  <mergeCells count="4">
    <mergeCell ref="A1:F1"/>
    <mergeCell ref="A40:C40"/>
    <mergeCell ref="D40:F40"/>
    <mergeCell ref="A60:F60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9" width="4.29"/>
    <col customWidth="1" min="10" max="12" width="5.43"/>
    <col customWidth="1" min="13" max="14" width="4.29"/>
    <col customWidth="1" min="15" max="15" width="5.29"/>
  </cols>
  <sheetData>
    <row r="1">
      <c r="B1" s="255" t="s">
        <v>732</v>
      </c>
      <c r="C1" s="256"/>
      <c r="D1" s="256"/>
      <c r="E1" s="256"/>
      <c r="G1" s="257"/>
      <c r="H1" s="257"/>
      <c r="I1" s="257"/>
      <c r="J1" s="257"/>
      <c r="K1" s="257"/>
      <c r="L1" s="11"/>
    </row>
    <row r="2">
      <c r="B2" s="258" t="s">
        <v>733</v>
      </c>
      <c r="C2" s="259" t="s">
        <v>734</v>
      </c>
      <c r="D2" s="259" t="s">
        <v>735</v>
      </c>
      <c r="E2" s="259" t="s">
        <v>736</v>
      </c>
      <c r="F2" s="259" t="s">
        <v>737</v>
      </c>
      <c r="G2" s="259" t="s">
        <v>738</v>
      </c>
      <c r="H2" s="259" t="s">
        <v>739</v>
      </c>
      <c r="I2" s="259" t="s">
        <v>740</v>
      </c>
      <c r="J2" s="259" t="s">
        <v>741</v>
      </c>
      <c r="K2" s="259" t="s">
        <v>742</v>
      </c>
      <c r="L2" s="259" t="s">
        <v>743</v>
      </c>
      <c r="M2" s="259" t="s">
        <v>744</v>
      </c>
      <c r="N2" s="259" t="s">
        <v>745</v>
      </c>
      <c r="O2" s="260" t="s">
        <v>746</v>
      </c>
    </row>
    <row r="3">
      <c r="B3" s="11" t="s">
        <v>344</v>
      </c>
      <c r="C3" s="261">
        <f>VLOOKUP($B3,'3월'!$G$3:$H$11,2, false)</f>
        <v>24</v>
      </c>
      <c r="D3" s="261">
        <f>VLOOKUP($B3,'4월'!$G$3:$H$11,2, false)</f>
        <v>16</v>
      </c>
      <c r="E3" s="261">
        <f>VLOOKUP($B3,'5월'!$G$3:$H$11,2, false)</f>
        <v>17</v>
      </c>
      <c r="F3" s="261">
        <f>VLOOKUP($B3,'6월'!$G$3:$H$11,2, false)</f>
        <v>18</v>
      </c>
      <c r="G3" s="261">
        <f>VLOOKUP($B3,'7월'!$G$3:$H$11,2, false)</f>
        <v>21</v>
      </c>
      <c r="H3" s="261">
        <f>VLOOKUP($B3,'8월'!$G$3:$H$11,2, false)</f>
        <v>16</v>
      </c>
      <c r="I3" s="261"/>
      <c r="J3" s="261"/>
      <c r="K3" s="261"/>
      <c r="L3" s="261"/>
      <c r="M3" s="261"/>
      <c r="N3" s="261"/>
      <c r="O3" s="262">
        <f t="shared" ref="O3:O13" si="1">sum(C3:N3)</f>
        <v>112</v>
      </c>
      <c r="P3" s="263">
        <f>sum(O3:O4)</f>
        <v>223</v>
      </c>
    </row>
    <row r="4">
      <c r="B4" s="11" t="s">
        <v>6</v>
      </c>
      <c r="C4" s="261"/>
      <c r="D4" s="261"/>
      <c r="E4" s="261"/>
      <c r="F4" s="261"/>
      <c r="G4" s="261"/>
      <c r="H4" s="261"/>
      <c r="I4" s="261">
        <f>VLOOKUP($B4,'9월'!$G$3:$H$11,2, false)</f>
        <v>22</v>
      </c>
      <c r="J4" s="261">
        <f>VLOOKUP($B4,'10월'!$G$3:$H$11,2, false)</f>
        <v>15</v>
      </c>
      <c r="K4" s="261">
        <f>VLOOKUP($B4,'11월'!$G$3:$H$11,2, false)</f>
        <v>19</v>
      </c>
      <c r="L4" s="261">
        <f>VLOOKUP($B4,'12월'!$G$3:$H$11,2, false)</f>
        <v>15</v>
      </c>
      <c r="M4" s="261">
        <f>VLOOKUP($B4,'2026-1월'!$G$3:$H$11,2, false)</f>
        <v>28</v>
      </c>
      <c r="N4" s="261">
        <f>VLOOKUP($B4,'2026-2월'!$G$3:$H$11,2, false)</f>
        <v>12</v>
      </c>
      <c r="O4" s="262">
        <f t="shared" si="1"/>
        <v>111</v>
      </c>
    </row>
    <row r="5">
      <c r="B5" s="11" t="s">
        <v>13</v>
      </c>
      <c r="C5" s="261">
        <f>VLOOKUP($B5,'3월'!$G$3:$H$11,2, false)</f>
        <v>134</v>
      </c>
      <c r="D5" s="261">
        <f>VLOOKUP($B5,'4월'!$G$3:$H$11,2, false)</f>
        <v>65</v>
      </c>
      <c r="E5" s="261">
        <f>VLOOKUP($B5,'5월'!$G$3:$H$11,2, false)</f>
        <v>89</v>
      </c>
      <c r="F5" s="261">
        <f>VLOOKUP($B5,'6월'!$G$3:$H$11,2, false)</f>
        <v>34</v>
      </c>
      <c r="G5" s="261">
        <f>VLOOKUP($B5,'7월'!$G$3:$H$11,2, false)</f>
        <v>26</v>
      </c>
      <c r="H5" s="261">
        <f>VLOOKUP($B5,'8월'!$G$3:$H$11,2, false)</f>
        <v>28</v>
      </c>
      <c r="I5" s="261">
        <f>VLOOKUP($B5,'9월'!$G$3:$H$11,2, false)</f>
        <v>130</v>
      </c>
      <c r="J5" s="261">
        <f>VLOOKUP($B5,'10월'!$G$3:$H$11,2, false)</f>
        <v>51</v>
      </c>
      <c r="K5" s="261">
        <f>VLOOKUP($B5,'11월'!$G$3:$H$11,2, false)</f>
        <v>110</v>
      </c>
      <c r="L5" s="261">
        <f>VLOOKUP($B5,'12월'!$G$3:$H$11,2, false)</f>
        <v>38</v>
      </c>
      <c r="M5" s="261">
        <f>VLOOKUP($B5,'2026-1월'!$G$3:$H$11,2, false)</f>
        <v>28</v>
      </c>
      <c r="N5" s="261">
        <f>VLOOKUP($B5,'2026-2월'!$G$3:$H$11,2, false)</f>
        <v>11</v>
      </c>
      <c r="O5" s="262">
        <f t="shared" si="1"/>
        <v>744</v>
      </c>
    </row>
    <row r="6">
      <c r="B6" s="11" t="s">
        <v>20</v>
      </c>
      <c r="C6" s="261">
        <f>VLOOKUP($B6,'3월'!$G$3:$H$11,2, false)</f>
        <v>5</v>
      </c>
      <c r="D6" s="261">
        <f>VLOOKUP($B6,'4월'!$G$3:$H$11,2, false)</f>
        <v>5</v>
      </c>
      <c r="E6" s="261">
        <f>VLOOKUP($B6,'5월'!$G$3:$H$11,2, false)</f>
        <v>4</v>
      </c>
      <c r="F6" s="261">
        <f>VLOOKUP($B6,'6월'!$G$3:$H$11,2, false)</f>
        <v>1</v>
      </c>
      <c r="G6" s="261">
        <f>VLOOKUP($B6,'7월'!$G$3:$H$11,2, false)</f>
        <v>2</v>
      </c>
      <c r="H6" s="261">
        <f>VLOOKUP($B6,'8월'!$G$3:$H$11,2, false)</f>
        <v>1</v>
      </c>
      <c r="I6" s="261">
        <f>VLOOKUP($B6,'9월'!$G$3:$H$11,2, false)</f>
        <v>6</v>
      </c>
      <c r="J6" s="261">
        <f>VLOOKUP($B6,'10월'!$G$3:$H$11,2, false)</f>
        <v>3</v>
      </c>
      <c r="K6" s="261">
        <f>VLOOKUP($B6,'11월'!$G$3:$H$11,2, false)</f>
        <v>6</v>
      </c>
      <c r="L6" s="261">
        <f>VLOOKUP($B6,'12월'!$G$3:$H$11,2, false)</f>
        <v>4</v>
      </c>
      <c r="M6" s="261">
        <f>VLOOKUP($B6,'2026-1월'!$G$3:$H$11,2, false)</f>
        <v>5</v>
      </c>
      <c r="N6" s="261">
        <f>VLOOKUP($B6,'2026-2월'!$G$3:$H$11,2, false)</f>
        <v>2</v>
      </c>
      <c r="O6" s="262">
        <f t="shared" si="1"/>
        <v>44</v>
      </c>
    </row>
    <row r="7">
      <c r="B7" s="11" t="s">
        <v>22</v>
      </c>
      <c r="C7" s="261">
        <f>VLOOKUP($B7,'3월'!$G$3:$H$11,2, false)</f>
        <v>10</v>
      </c>
      <c r="D7" s="261">
        <f>VLOOKUP($B7,'4월'!$G$3:$H$11,2, false)</f>
        <v>5</v>
      </c>
      <c r="E7" s="261">
        <f>VLOOKUP($B7,'5월'!$G$3:$H$11,2, false)</f>
        <v>9</v>
      </c>
      <c r="F7" s="261">
        <f>VLOOKUP($B7,'6월'!$G$3:$H$11,2, false)</f>
        <v>4</v>
      </c>
      <c r="G7" s="261">
        <f>VLOOKUP($B7,'7월'!$G$3:$H$11,2, false)</f>
        <v>4</v>
      </c>
      <c r="H7" s="261">
        <f>VLOOKUP($B7,'8월'!$G$3:$H$11,2, false)</f>
        <v>2</v>
      </c>
      <c r="I7" s="261">
        <f>VLOOKUP($B7,'9월'!$G$3:$H$11,2, false)</f>
        <v>8</v>
      </c>
      <c r="J7" s="261">
        <f>VLOOKUP($B7,'10월'!$G$3:$H$11,2, false)</f>
        <v>4</v>
      </c>
      <c r="K7" s="261">
        <f>VLOOKUP($B7,'11월'!$G$3:$H$11,2, false)</f>
        <v>7</v>
      </c>
      <c r="L7" s="261">
        <f>VLOOKUP($B7,'12월'!$G$3:$H$11,2, false)</f>
        <v>5</v>
      </c>
      <c r="M7" s="261">
        <f>VLOOKUP($B7,'2026-1월'!$G$3:$H$11,2, false)</f>
        <v>8</v>
      </c>
      <c r="N7" s="261">
        <f>VLOOKUP($B7,'2026-2월'!$G$3:$H$11,2, false)</f>
        <v>2</v>
      </c>
      <c r="O7" s="262">
        <f t="shared" si="1"/>
        <v>68</v>
      </c>
    </row>
    <row r="8">
      <c r="B8" s="11" t="s">
        <v>25</v>
      </c>
      <c r="C8" s="261">
        <f>VLOOKUP($B8,'3월'!$G$3:$H$11,2, false)</f>
        <v>28</v>
      </c>
      <c r="D8" s="261">
        <f>VLOOKUP($B8,'4월'!$G$3:$H$11,2, false)</f>
        <v>15</v>
      </c>
      <c r="E8" s="261">
        <f>VLOOKUP($B8,'5월'!$G$3:$H$11,2, false)</f>
        <v>12</v>
      </c>
      <c r="F8" s="261">
        <f>VLOOKUP($B8,'6월'!$G$3:$H$11,2, false)</f>
        <v>5</v>
      </c>
      <c r="G8" s="261">
        <f>VLOOKUP($B8,'7월'!$G$3:$H$11,2, false)</f>
        <v>1</v>
      </c>
      <c r="H8" s="261">
        <f>VLOOKUP($B8,'8월'!$G$3:$H$11,2, false)</f>
        <v>4</v>
      </c>
      <c r="I8" s="261">
        <f>VLOOKUP($B8,'9월'!$G$3:$H$11,2, false)</f>
        <v>20</v>
      </c>
      <c r="J8" s="261">
        <f>VLOOKUP($B8,'10월'!$G$3:$H$11,2, false)</f>
        <v>3</v>
      </c>
      <c r="K8" s="261">
        <f>VLOOKUP($B8,'11월'!$G$3:$H$11,2, false)</f>
        <v>20</v>
      </c>
      <c r="L8" s="261">
        <f>VLOOKUP($B8,'12월'!$G$3:$H$11,2, false)</f>
        <v>2</v>
      </c>
      <c r="M8" s="261">
        <f>VLOOKUP($B8,'2026-1월'!$G$3:$H$11,2, false)</f>
        <v>2</v>
      </c>
      <c r="N8" s="261">
        <f>VLOOKUP($B8,'2026-2월'!$G$3:$H$11,2, false)</f>
        <v>3</v>
      </c>
      <c r="O8" s="262">
        <f t="shared" si="1"/>
        <v>115</v>
      </c>
    </row>
    <row r="9">
      <c r="B9" s="11" t="s">
        <v>29</v>
      </c>
      <c r="C9" s="261">
        <f>VLOOKUP($B9,'3월'!$G$3:$H$11,2, false)</f>
        <v>8</v>
      </c>
      <c r="D9" s="261">
        <f>VLOOKUP($B9,'4월'!$G$3:$H$11,2, false)</f>
        <v>6</v>
      </c>
      <c r="E9" s="261">
        <f>VLOOKUP($B9,'5월'!$G$3:$H$11,2, false)</f>
        <v>5</v>
      </c>
      <c r="F9" s="261">
        <f>VLOOKUP($B9,'6월'!$G$3:$H$11,2, false)</f>
        <v>0</v>
      </c>
      <c r="G9" s="261">
        <f>VLOOKUP($B9,'7월'!$G$3:$H$11,2, false)</f>
        <v>0</v>
      </c>
      <c r="H9" s="261">
        <f>VLOOKUP($B9,'8월'!$G$3:$H$11,2, false)</f>
        <v>0</v>
      </c>
      <c r="I9" s="261">
        <f>VLOOKUP($B9,'9월'!$G$3:$H$11,2, false)</f>
        <v>6</v>
      </c>
      <c r="J9" s="261">
        <f>VLOOKUP($B9,'10월'!$G$3:$H$11,2, false)</f>
        <v>5</v>
      </c>
      <c r="K9" s="261">
        <f>VLOOKUP($B9,'11월'!$G$3:$H$11,2, false)</f>
        <v>6</v>
      </c>
      <c r="L9" s="261">
        <f>VLOOKUP($B9,'12월'!$G$3:$H$11,2, false)</f>
        <v>0</v>
      </c>
      <c r="M9" s="261">
        <f>VLOOKUP($B9,'2026-1월'!$G$3:$H$11,2, false)</f>
        <v>0</v>
      </c>
      <c r="N9" s="261">
        <f>VLOOKUP($B9,'2026-2월'!$G$3:$H$11,2, false)</f>
        <v>0</v>
      </c>
      <c r="O9" s="262">
        <f t="shared" si="1"/>
        <v>36</v>
      </c>
    </row>
    <row r="10">
      <c r="A10" s="264"/>
      <c r="B10" s="11" t="s">
        <v>33</v>
      </c>
      <c r="C10" s="261">
        <f>VLOOKUP($B10,'3월'!$G$3:$H$11,2, false)</f>
        <v>0</v>
      </c>
      <c r="D10" s="261">
        <f>VLOOKUP($B10,'4월'!$G$3:$H$11,2, false)</f>
        <v>0</v>
      </c>
      <c r="E10" s="261">
        <f>VLOOKUP($B10,'5월'!$G$3:$H$11,2, false)</f>
        <v>0</v>
      </c>
      <c r="F10" s="261">
        <f>VLOOKUP($B10,'6월'!$G$3:$H$11,2, false)</f>
        <v>0</v>
      </c>
      <c r="G10" s="261">
        <f>VLOOKUP($B10,'7월'!$G$3:$H$11,2, false)</f>
        <v>0</v>
      </c>
      <c r="H10" s="261">
        <f>VLOOKUP($B10,'8월'!$G$3:$H$11,2, false)</f>
        <v>0</v>
      </c>
      <c r="I10" s="261">
        <f>VLOOKUP($B10,'9월'!$G$3:$H$11,2, false)</f>
        <v>0</v>
      </c>
      <c r="J10" s="261">
        <f>VLOOKUP($B10,'10월'!$G$3:$H$11,2, false)</f>
        <v>0</v>
      </c>
      <c r="K10" s="261">
        <f>VLOOKUP($B10,'11월'!$G$3:$H$11,2, false)</f>
        <v>0</v>
      </c>
      <c r="L10" s="261">
        <f>VLOOKUP($B10,'12월'!$G$3:$H$11,2, false)</f>
        <v>0</v>
      </c>
      <c r="M10" s="261">
        <f>VLOOKUP($B10,'2026-1월'!$G$3:$H$11,2, false)</f>
        <v>0</v>
      </c>
      <c r="N10" s="261">
        <f>VLOOKUP($B10,'2026-2월'!$G$3:$H$11,2, false)</f>
        <v>0</v>
      </c>
      <c r="O10" s="262">
        <f t="shared" si="1"/>
        <v>0</v>
      </c>
      <c r="P10" s="265"/>
      <c r="Q10" s="264"/>
      <c r="R10" s="264"/>
      <c r="S10" s="264"/>
      <c r="T10" s="264"/>
      <c r="U10" s="264"/>
      <c r="V10" s="264"/>
      <c r="W10" s="264"/>
      <c r="X10" s="264"/>
      <c r="Y10" s="264"/>
      <c r="Z10" s="264"/>
      <c r="AA10" s="264"/>
      <c r="AB10" s="264"/>
      <c r="AC10" s="264"/>
      <c r="AD10" s="264"/>
      <c r="AE10" s="264"/>
    </row>
    <row r="11">
      <c r="A11" s="264"/>
      <c r="B11" s="34" t="s">
        <v>37</v>
      </c>
      <c r="C11" s="261">
        <f>VLOOKUP($B11,'3월'!$G$3:$H$11,2, false)</f>
        <v>0</v>
      </c>
      <c r="D11" s="261">
        <f>VLOOKUP($B11,'4월'!$G$3:$H$11,2, false)</f>
        <v>0</v>
      </c>
      <c r="E11" s="261">
        <f>VLOOKUP($B11,'5월'!$G$3:$H$11,2, false)</f>
        <v>0</v>
      </c>
      <c r="F11" s="261">
        <f>VLOOKUP($B11,'6월'!$G$3:$H$11,2, false)</f>
        <v>0</v>
      </c>
      <c r="G11" s="261">
        <f>VLOOKUP($B11,'7월'!$G$3:$H$11,2, false)</f>
        <v>0</v>
      </c>
      <c r="H11" s="261">
        <f>VLOOKUP($B11,'8월'!$G$3:$H$11,2, false)</f>
        <v>0</v>
      </c>
      <c r="I11" s="261">
        <f>VLOOKUP($B11,'9월'!$G$3:$H$11,2, false)</f>
        <v>0</v>
      </c>
      <c r="J11" s="261">
        <f>VLOOKUP($B11,'10월'!$G$3:$H$11,2, false)</f>
        <v>0</v>
      </c>
      <c r="K11" s="261">
        <f>VLOOKUP($B11,'11월'!$G$3:$H$11,2, false)</f>
        <v>0</v>
      </c>
      <c r="L11" s="261">
        <f>VLOOKUP($B11,'12월'!$G$3:$H$11,2, false)</f>
        <v>0</v>
      </c>
      <c r="M11" s="261">
        <f>VLOOKUP($B11,'2026-1월'!$G$3:$H$11,2, false)</f>
        <v>0</v>
      </c>
      <c r="N11" s="261">
        <f>VLOOKUP($B11,'2026-2월'!$G$3:$H$11,2, false)</f>
        <v>0</v>
      </c>
      <c r="O11" s="262">
        <f t="shared" si="1"/>
        <v>0</v>
      </c>
      <c r="P11" s="265"/>
      <c r="Q11" s="264"/>
      <c r="R11" s="264"/>
      <c r="S11" s="264"/>
      <c r="T11" s="264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</row>
    <row r="12">
      <c r="A12" s="264"/>
      <c r="B12" s="11" t="s">
        <v>40</v>
      </c>
      <c r="C12" s="261">
        <f>VLOOKUP($B12,'3월'!$G$3:$H$11,2, false)</f>
        <v>0</v>
      </c>
      <c r="D12" s="261">
        <f>VLOOKUP($B12,'4월'!$G$3:$H$11,2, false)</f>
        <v>0</v>
      </c>
      <c r="E12" s="261">
        <f>VLOOKUP($B12,'5월'!$G$3:$H$11,2, false)</f>
        <v>9</v>
      </c>
      <c r="F12" s="261">
        <f>VLOOKUP($B12,'6월'!$G$3:$H$11,2, false)</f>
        <v>0</v>
      </c>
      <c r="G12" s="261">
        <f>VLOOKUP($B12,'7월'!$G$3:$H$11,2, false)</f>
        <v>0</v>
      </c>
      <c r="H12" s="261">
        <f>VLOOKUP($B12,'8월'!$G$3:$H$11,2, false)</f>
        <v>0</v>
      </c>
      <c r="I12" s="261">
        <f>VLOOKUP($B12,'9월'!$G$3:$H$11,2, false)</f>
        <v>0</v>
      </c>
      <c r="J12" s="261">
        <f>VLOOKUP($B12,'10월'!$G$3:$H$11,2, false)</f>
        <v>0</v>
      </c>
      <c r="K12" s="261">
        <f>VLOOKUP($B12,'11월'!$G$3:$H$11,2, false)</f>
        <v>9</v>
      </c>
      <c r="L12" s="261">
        <f>VLOOKUP($B12,'12월'!$G$3:$H$11,2, false)</f>
        <v>0</v>
      </c>
      <c r="M12" s="261">
        <f>VLOOKUP($B12,'2026-1월'!$G$3:$H$11,2, false)</f>
        <v>0</v>
      </c>
      <c r="N12" s="261">
        <f>VLOOKUP($B12,'2026-2월'!$G$3:$H$11,2, false)</f>
        <v>0</v>
      </c>
      <c r="O12" s="262">
        <f t="shared" si="1"/>
        <v>18</v>
      </c>
      <c r="P12" s="265"/>
      <c r="Q12" s="264"/>
      <c r="R12" s="264"/>
      <c r="S12" s="264"/>
      <c r="T12" s="264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</row>
    <row r="13">
      <c r="B13" s="260" t="s">
        <v>746</v>
      </c>
      <c r="C13" s="266">
        <f t="shared" ref="C13:N13" si="2">sum(C3:C12)</f>
        <v>209</v>
      </c>
      <c r="D13" s="266">
        <f t="shared" si="2"/>
        <v>112</v>
      </c>
      <c r="E13" s="267">
        <f t="shared" si="2"/>
        <v>145</v>
      </c>
      <c r="F13" s="267">
        <f t="shared" si="2"/>
        <v>62</v>
      </c>
      <c r="G13" s="266">
        <f t="shared" si="2"/>
        <v>54</v>
      </c>
      <c r="H13" s="266">
        <f t="shared" si="2"/>
        <v>51</v>
      </c>
      <c r="I13" s="266">
        <f t="shared" si="2"/>
        <v>192</v>
      </c>
      <c r="J13" s="266">
        <f t="shared" si="2"/>
        <v>81</v>
      </c>
      <c r="K13" s="266">
        <f t="shared" si="2"/>
        <v>177</v>
      </c>
      <c r="L13" s="266">
        <f t="shared" si="2"/>
        <v>64</v>
      </c>
      <c r="M13" s="266">
        <f t="shared" si="2"/>
        <v>71</v>
      </c>
      <c r="N13" s="266">
        <f t="shared" si="2"/>
        <v>30</v>
      </c>
      <c r="O13" s="262">
        <f t="shared" si="1"/>
        <v>1248</v>
      </c>
      <c r="P13" s="263">
        <f>sum(O3:O12)</f>
        <v>1248</v>
      </c>
    </row>
    <row r="14">
      <c r="B14" s="258" t="s">
        <v>747</v>
      </c>
      <c r="F14" s="261"/>
      <c r="G14" s="261"/>
      <c r="H14" s="261"/>
      <c r="I14" s="261"/>
      <c r="J14" s="261"/>
      <c r="K14" s="261"/>
      <c r="L14" s="261"/>
      <c r="M14" s="261"/>
      <c r="N14" s="261"/>
      <c r="O14" s="268" t="s">
        <v>746</v>
      </c>
      <c r="P14" s="256"/>
    </row>
    <row r="15">
      <c r="B15" s="13" t="s">
        <v>7</v>
      </c>
      <c r="C15" s="261">
        <f>vlookup($B15,'3월'!$I:$J, 2, false)</f>
        <v>25</v>
      </c>
      <c r="D15" s="261">
        <f>vlookup($B15,'4월'!$I:$J, 2, false)</f>
        <v>6</v>
      </c>
      <c r="E15" s="261">
        <f>vlookup($B15,'5월'!$I:$J, 2, false)</f>
        <v>11</v>
      </c>
      <c r="F15" s="261">
        <f>vlookup($B15,'6월'!$I:$J, 2, false)</f>
        <v>6</v>
      </c>
      <c r="G15" s="261">
        <f>vlookup($B15,'7월'!$I:$J, 2, false)</f>
        <v>4</v>
      </c>
      <c r="H15" s="261">
        <f>vlookup($B15,'8월'!$I:$J, 2, false)</f>
        <v>4</v>
      </c>
      <c r="I15" s="261">
        <f>vlookup($B15,'9월'!$I:$J, 2, false)</f>
        <v>10</v>
      </c>
      <c r="J15" s="261">
        <f>vlookup($B15,'10월'!$I:$J, 2, false)</f>
        <v>3</v>
      </c>
      <c r="K15" s="261">
        <f>vlookup($B15,'11월'!$I:$J, 2, false)</f>
        <v>11</v>
      </c>
      <c r="L15" s="261">
        <f>vlookup($B15,'12월'!$I:$J, 2, false)</f>
        <v>4</v>
      </c>
      <c r="M15" s="261">
        <f>vlookup($B15,'2026-1월'!$I:$J, 2, false)</f>
        <v>4</v>
      </c>
      <c r="N15" s="261">
        <f>vlookup($B15,'2026-2월'!$I:$J, 2, false)</f>
        <v>4</v>
      </c>
      <c r="O15" s="262">
        <f t="shared" ref="O15:O37" si="3">sum(C15:N15)</f>
        <v>92</v>
      </c>
    </row>
    <row r="16">
      <c r="B16" s="20" t="s">
        <v>14</v>
      </c>
      <c r="C16" s="261">
        <f>vlookup($B16,'3월'!$I:$J, 2, false)</f>
        <v>14</v>
      </c>
      <c r="D16" s="261">
        <f>vlookup($B16,'4월'!$I:$J, 2, false)</f>
        <v>9</v>
      </c>
      <c r="E16" s="261">
        <f>vlookup($B16,'5월'!$I:$J, 2, false)</f>
        <v>12</v>
      </c>
      <c r="F16" s="261">
        <f>vlookup($B16,'6월'!$I:$J, 2, false)</f>
        <v>6</v>
      </c>
      <c r="G16" s="261">
        <f>vlookup($B16,'7월'!$I:$J, 2, false)</f>
        <v>6</v>
      </c>
      <c r="H16" s="261">
        <f>vlookup($B16,'8월'!$I:$J, 2, false)</f>
        <v>4</v>
      </c>
      <c r="I16" s="261">
        <f>vlookup($B16,'9월'!$I:$J, 2, false)</f>
        <v>12</v>
      </c>
      <c r="J16" s="261">
        <f>vlookup($B16,'10월'!$I:$J, 2, false)</f>
        <v>8</v>
      </c>
      <c r="K16" s="261">
        <f>vlookup($B16,'11월'!$I:$J, 2, false)</f>
        <v>9</v>
      </c>
      <c r="L16" s="261">
        <f>vlookup($B16,'12월'!$I:$J, 2, false)</f>
        <v>4</v>
      </c>
      <c r="M16" s="261">
        <f>vlookup($B16,'2026-1월'!$I:$J, 2, false)</f>
        <v>8</v>
      </c>
      <c r="N16" s="261">
        <f>vlookup($B16,'2026-2월'!$I:$J, 2, false)</f>
        <v>3</v>
      </c>
      <c r="O16" s="262">
        <f t="shared" si="3"/>
        <v>95</v>
      </c>
    </row>
    <row r="17">
      <c r="B17" s="20" t="s">
        <v>21</v>
      </c>
      <c r="C17" s="261">
        <f>vlookup($B17,'3월'!$I:$J, 2, false)</f>
        <v>0</v>
      </c>
      <c r="D17" s="261">
        <f>vlookup($B17,'4월'!$I:$J, 2, false)</f>
        <v>0</v>
      </c>
      <c r="E17" s="261">
        <f>vlookup($B17,'5월'!$I:$J, 2, false)</f>
        <v>0</v>
      </c>
      <c r="F17" s="261">
        <f>vlookup($B17,'6월'!$I:$J, 2, false)</f>
        <v>0</v>
      </c>
      <c r="G17" s="261">
        <f>vlookup($B17,'7월'!$I:$J, 2, false)</f>
        <v>0</v>
      </c>
      <c r="H17" s="261">
        <f>vlookup($B17,'8월'!$I:$J, 2, false)</f>
        <v>0</v>
      </c>
      <c r="I17" s="261">
        <f>vlookup($B17,'9월'!$I:$J, 2, false)</f>
        <v>0</v>
      </c>
      <c r="J17" s="261">
        <f>vlookup($B17,'10월'!$I:$J, 2, false)</f>
        <v>0</v>
      </c>
      <c r="K17" s="261">
        <f>vlookup($B17,'11월'!$I:$J, 2, false)</f>
        <v>0</v>
      </c>
      <c r="L17" s="261">
        <f>vlookup($B17,'12월'!$I:$J, 2, false)</f>
        <v>0</v>
      </c>
      <c r="M17" s="261">
        <f>vlookup($B17,'2026-1월'!$I:$J, 2, false)</f>
        <v>0</v>
      </c>
      <c r="N17" s="261">
        <f>vlookup($B17,'2026-2월'!$I:$J, 2, false)</f>
        <v>0</v>
      </c>
      <c r="O17" s="262">
        <f t="shared" si="3"/>
        <v>0</v>
      </c>
    </row>
    <row r="18">
      <c r="B18" s="20" t="s">
        <v>23</v>
      </c>
      <c r="C18" s="261">
        <f>vlookup($B18,'3월'!$I:$J, 2, false)</f>
        <v>8</v>
      </c>
      <c r="D18" s="261">
        <f>vlookup($B18,'4월'!$I:$J, 2, false)</f>
        <v>8</v>
      </c>
      <c r="E18" s="261">
        <f>vlookup($B18,'5월'!$I:$J, 2, false)</f>
        <v>6</v>
      </c>
      <c r="F18" s="261">
        <f>vlookup($B18,'6월'!$I:$J, 2, false)</f>
        <v>4</v>
      </c>
      <c r="G18" s="261">
        <f>vlookup($B18,'7월'!$I:$J, 2, false)</f>
        <v>4</v>
      </c>
      <c r="H18" s="261">
        <f>vlookup($B18,'8월'!$I:$J, 2, false)</f>
        <v>0</v>
      </c>
      <c r="I18" s="261">
        <f>vlookup($B18,'9월'!$I:$J, 2, false)</f>
        <v>8</v>
      </c>
      <c r="J18" s="261">
        <f>vlookup($B18,'10월'!$I:$J, 2, false)</f>
        <v>3</v>
      </c>
      <c r="K18" s="261">
        <f>vlookup($B18,'11월'!$I:$J, 2, false)</f>
        <v>11</v>
      </c>
      <c r="L18" s="261">
        <f>vlookup($B18,'12월'!$I:$J, 2, false)</f>
        <v>5</v>
      </c>
      <c r="M18" s="261">
        <f>vlookup($B18,'2026-1월'!$I:$J, 2, false)</f>
        <v>2</v>
      </c>
      <c r="N18" s="261">
        <f>vlookup($B18,'2026-2월'!$I:$J, 2, false)</f>
        <v>0</v>
      </c>
      <c r="O18" s="262">
        <f t="shared" si="3"/>
        <v>59</v>
      </c>
    </row>
    <row r="19">
      <c r="B19" s="20" t="s">
        <v>26</v>
      </c>
      <c r="C19" s="261">
        <f>vlookup($B19,'3월'!$I:$J, 2, false)</f>
        <v>10</v>
      </c>
      <c r="D19" s="261">
        <f>vlookup($B19,'4월'!$I:$J, 2, false)</f>
        <v>6</v>
      </c>
      <c r="E19" s="261">
        <f>vlookup($B19,'5월'!$I:$J, 2, false)</f>
        <v>8</v>
      </c>
      <c r="F19" s="261">
        <f>vlookup($B19,'6월'!$I:$J, 2, false)</f>
        <v>4</v>
      </c>
      <c r="G19" s="261">
        <f>vlookup($B19,'7월'!$I:$J, 2, false)</f>
        <v>4</v>
      </c>
      <c r="H19" s="261">
        <f>vlookup($B19,'8월'!$I:$J, 2, false)</f>
        <v>6</v>
      </c>
      <c r="I19" s="261">
        <f>vlookup($B19,'9월'!$I:$J, 2, false)</f>
        <v>8</v>
      </c>
      <c r="J19" s="261">
        <f>vlookup($B19,'10월'!$I:$J, 2, false)</f>
        <v>6</v>
      </c>
      <c r="K19" s="261">
        <f>vlookup($B19,'11월'!$I:$J, 2, false)</f>
        <v>8</v>
      </c>
      <c r="L19" s="261">
        <f>vlookup($B19,'12월'!$I:$J, 2, false)</f>
        <v>4</v>
      </c>
      <c r="M19" s="261">
        <f>vlookup($B19,'2026-1월'!$I:$J, 2, false)</f>
        <v>6</v>
      </c>
      <c r="N19" s="261">
        <f>vlookup($B19,'2026-2월'!$I:$J, 2, false)</f>
        <v>3</v>
      </c>
      <c r="O19" s="262">
        <f t="shared" si="3"/>
        <v>73</v>
      </c>
    </row>
    <row r="20">
      <c r="B20" s="20" t="s">
        <v>30</v>
      </c>
      <c r="C20" s="261">
        <f>vlookup($B20,'3월'!$I:$J, 2, false)</f>
        <v>8</v>
      </c>
      <c r="D20" s="261">
        <f>vlookup($B20,'4월'!$I:$J, 2, false)</f>
        <v>6</v>
      </c>
      <c r="E20" s="261">
        <f>vlookup($B20,'5월'!$I:$J, 2, false)</f>
        <v>4</v>
      </c>
      <c r="F20" s="261">
        <f>vlookup($B20,'6월'!$I:$J, 2, false)</f>
        <v>0</v>
      </c>
      <c r="G20" s="261">
        <f>vlookup($B20,'7월'!$I:$J, 2, false)</f>
        <v>0</v>
      </c>
      <c r="H20" s="261">
        <f>vlookup($B20,'8월'!$I:$J, 2, false)</f>
        <v>0</v>
      </c>
      <c r="I20" s="261">
        <f>vlookup($B20,'9월'!$I:$J, 2, false)</f>
        <v>8</v>
      </c>
      <c r="J20" s="261">
        <f>vlookup($B20,'10월'!$I:$J, 2, false)</f>
        <v>2</v>
      </c>
      <c r="K20" s="261">
        <f>vlookup($B20,'11월'!$I:$J, 2, false)</f>
        <v>9</v>
      </c>
      <c r="L20" s="261">
        <f>vlookup($B20,'12월'!$I:$J, 2, false)</f>
        <v>0</v>
      </c>
      <c r="M20" s="261">
        <f>vlookup($B20,'2026-1월'!$I:$J, 2, false)</f>
        <v>0</v>
      </c>
      <c r="N20" s="261">
        <f>vlookup($B20,'2026-2월'!$I:$J, 2, false)</f>
        <v>0</v>
      </c>
      <c r="O20" s="262">
        <f t="shared" si="3"/>
        <v>37</v>
      </c>
    </row>
    <row r="21">
      <c r="B21" s="20" t="s">
        <v>34</v>
      </c>
      <c r="C21" s="261">
        <f>vlookup($B21,'3월'!$I:$J, 2, false)</f>
        <v>11</v>
      </c>
      <c r="D21" s="261">
        <f>vlookup($B21,'4월'!$I:$J, 2, false)</f>
        <v>6</v>
      </c>
      <c r="E21" s="261">
        <f>vlookup($B21,'5월'!$I:$J, 2, false)</f>
        <v>7</v>
      </c>
      <c r="F21" s="261">
        <f>vlookup($B21,'6월'!$I:$J, 2, false)</f>
        <v>4</v>
      </c>
      <c r="G21" s="261">
        <f>vlookup($B21,'7월'!$I:$J, 2, false)</f>
        <v>6</v>
      </c>
      <c r="H21" s="261">
        <f>vlookup($B21,'8월'!$I:$J, 2, false)</f>
        <v>4</v>
      </c>
      <c r="I21" s="261">
        <f>vlookup($B21,'9월'!$I:$J, 2, false)</f>
        <v>14</v>
      </c>
      <c r="J21" s="261">
        <f>vlookup($B21,'10월'!$I:$J, 2, false)</f>
        <v>5</v>
      </c>
      <c r="K21" s="261">
        <f>vlookup($B21,'11월'!$I:$J, 2, false)</f>
        <v>11</v>
      </c>
      <c r="L21" s="261">
        <f>vlookup($B21,'12월'!$I:$J, 2, false)</f>
        <v>5</v>
      </c>
      <c r="M21" s="261">
        <f>vlookup($B21,'2026-1월'!$I:$J, 2, false)</f>
        <v>4</v>
      </c>
      <c r="N21" s="261">
        <f>vlookup($B21,'2026-2월'!$I:$J, 2, false)</f>
        <v>0</v>
      </c>
      <c r="O21" s="262">
        <f t="shared" si="3"/>
        <v>77</v>
      </c>
    </row>
    <row r="22">
      <c r="B22" s="20" t="s">
        <v>38</v>
      </c>
      <c r="C22" s="261">
        <f>vlookup($B22,'3월'!$I:$J, 2, false)</f>
        <v>17</v>
      </c>
      <c r="D22" s="261">
        <f>vlookup($B22,'4월'!$I:$J, 2, false)</f>
        <v>9</v>
      </c>
      <c r="E22" s="261">
        <f>vlookup($B22,'5월'!$I:$J, 2, false)</f>
        <v>12</v>
      </c>
      <c r="F22" s="261">
        <f>vlookup($B22,'6월'!$I:$J, 2, false)</f>
        <v>4</v>
      </c>
      <c r="G22" s="261">
        <f>vlookup($B22,'7월'!$I:$J, 2, false)</f>
        <v>4</v>
      </c>
      <c r="H22" s="261">
        <f>vlookup($B22,'8월'!$I:$J, 2, false)</f>
        <v>6</v>
      </c>
      <c r="I22" s="261">
        <f>vlookup($B22,'9월'!$I:$J, 2, false)</f>
        <v>14</v>
      </c>
      <c r="J22" s="261">
        <f>vlookup($B22,'10월'!$I:$J, 2, false)</f>
        <v>9</v>
      </c>
      <c r="K22" s="261">
        <f>vlookup($B22,'11월'!$I:$J, 2, false)</f>
        <v>11</v>
      </c>
      <c r="L22" s="261">
        <f>vlookup($B22,'12월'!$I:$J, 2, false)</f>
        <v>4</v>
      </c>
      <c r="M22" s="261">
        <f>vlookup($B22,'2026-1월'!$I:$J, 2, false)</f>
        <v>5</v>
      </c>
      <c r="N22" s="261">
        <f>vlookup($B22,'2026-2월'!$I:$J, 2, false)</f>
        <v>4</v>
      </c>
      <c r="O22" s="262">
        <f t="shared" si="3"/>
        <v>99</v>
      </c>
    </row>
    <row r="23">
      <c r="B23" s="20" t="s">
        <v>41</v>
      </c>
      <c r="C23" s="261">
        <f>vlookup($B23,'3월'!$I:$J, 2, false)</f>
        <v>5</v>
      </c>
      <c r="D23" s="261">
        <f>vlookup($B23,'4월'!$I:$J, 2, false)</f>
        <v>2</v>
      </c>
      <c r="E23" s="261">
        <f>vlookup($B23,'5월'!$I:$J, 2, false)</f>
        <v>4</v>
      </c>
      <c r="F23" s="261">
        <f>vlookup($B23,'6월'!$I:$J, 2, false)</f>
        <v>2</v>
      </c>
      <c r="G23" s="261">
        <f>vlookup($B23,'7월'!$I:$J, 2, false)</f>
        <v>0</v>
      </c>
      <c r="H23" s="261">
        <f>vlookup($B23,'8월'!$I:$J, 2, false)</f>
        <v>0</v>
      </c>
      <c r="I23" s="261">
        <f>vlookup($B23,'9월'!$I:$J, 2, false)</f>
        <v>4</v>
      </c>
      <c r="J23" s="261">
        <f>vlookup($B23,'10월'!$I:$J, 2, false)</f>
        <v>2</v>
      </c>
      <c r="K23" s="261">
        <f>vlookup($B23,'11월'!$I:$J, 2, false)</f>
        <v>5</v>
      </c>
      <c r="L23" s="261">
        <f>vlookup($B23,'12월'!$I:$J, 2, false)</f>
        <v>3</v>
      </c>
      <c r="M23" s="261">
        <f>vlookup($B23,'2026-1월'!$I:$J, 2, false)</f>
        <v>4</v>
      </c>
      <c r="N23" s="261">
        <f>vlookup($B23,'2026-2월'!$I:$J, 2, false)</f>
        <v>2</v>
      </c>
      <c r="O23" s="262">
        <f t="shared" si="3"/>
        <v>33</v>
      </c>
    </row>
    <row r="24">
      <c r="B24" s="20" t="s">
        <v>45</v>
      </c>
      <c r="C24" s="261">
        <f>vlookup($B24,'3월'!$I:$J, 2, false)</f>
        <v>9</v>
      </c>
      <c r="D24" s="261">
        <f>vlookup($B24,'4월'!$I:$J, 2, false)</f>
        <v>6</v>
      </c>
      <c r="E24" s="261">
        <f>vlookup($B24,'5월'!$I:$J, 2, false)</f>
        <v>6</v>
      </c>
      <c r="F24" s="261">
        <f>vlookup($B24,'6월'!$I:$J, 2, false)</f>
        <v>6</v>
      </c>
      <c r="G24" s="261">
        <f>vlookup($B24,'7월'!$I:$J, 2, false)</f>
        <v>2</v>
      </c>
      <c r="H24" s="261">
        <f>vlookup($B24,'8월'!$I:$J, 2, false)</f>
        <v>4</v>
      </c>
      <c r="I24" s="261">
        <f>vlookup($B24,'9월'!$I:$J, 2, false)</f>
        <v>15</v>
      </c>
      <c r="J24" s="261">
        <f>vlookup($B24,'10월'!$I:$J, 2, false)</f>
        <v>3</v>
      </c>
      <c r="K24" s="261">
        <f>vlookup($B24,'11월'!$I:$J, 2, false)</f>
        <v>10</v>
      </c>
      <c r="L24" s="261">
        <f>vlookup($B24,'12월'!$I:$J, 2, false)</f>
        <v>6</v>
      </c>
      <c r="M24" s="261">
        <f>vlookup($B24,'2026-1월'!$I:$J, 2, false)</f>
        <v>5</v>
      </c>
      <c r="N24" s="261">
        <f>vlookup($B24,'2026-2월'!$I:$J, 2, false)</f>
        <v>5</v>
      </c>
      <c r="O24" s="262">
        <f t="shared" si="3"/>
        <v>77</v>
      </c>
    </row>
    <row r="25">
      <c r="B25" s="20" t="s">
        <v>49</v>
      </c>
      <c r="C25" s="261">
        <f>vlookup($B25,'3월'!$I:$J, 2, false)</f>
        <v>26</v>
      </c>
      <c r="D25" s="261">
        <f>vlookup($B25,'4월'!$I:$J, 2, false)</f>
        <v>14</v>
      </c>
      <c r="E25" s="261">
        <f>vlookup($B25,'5월'!$I:$J, 2, false)</f>
        <v>11</v>
      </c>
      <c r="F25" s="261">
        <f>vlookup($B25,'6월'!$I:$J, 2, false)</f>
        <v>6</v>
      </c>
      <c r="G25" s="261">
        <f>vlookup($B25,'7월'!$I:$J, 2, false)</f>
        <v>6</v>
      </c>
      <c r="H25" s="261">
        <f>vlookup($B25,'8월'!$I:$J, 2, false)</f>
        <v>9</v>
      </c>
      <c r="I25" s="261">
        <f>vlookup($B25,'9월'!$I:$J, 2, false)</f>
        <v>30</v>
      </c>
      <c r="J25" s="261">
        <f>vlookup($B25,'10월'!$I:$J, 2, false)</f>
        <v>3</v>
      </c>
      <c r="K25" s="261">
        <f>vlookup($B25,'11월'!$I:$J, 2, false)</f>
        <v>21</v>
      </c>
      <c r="L25" s="261">
        <f>vlookup($B25,'12월'!$I:$J, 2, false)</f>
        <v>7</v>
      </c>
      <c r="M25" s="261">
        <f>vlookup($B25,'2026-1월'!$I:$J, 2, false)</f>
        <v>8</v>
      </c>
      <c r="N25" s="261">
        <f>vlookup($B25,'2026-2월'!$I:$J, 2, false)</f>
        <v>3</v>
      </c>
      <c r="O25" s="262">
        <f t="shared" si="3"/>
        <v>144</v>
      </c>
    </row>
    <row r="26">
      <c r="B26" s="20" t="s">
        <v>52</v>
      </c>
      <c r="C26" s="261">
        <f>vlookup($B26,'3월'!$I:$J, 2, false)</f>
        <v>0</v>
      </c>
      <c r="D26" s="261">
        <f>vlookup($B26,'4월'!$I:$J, 2, false)</f>
        <v>0</v>
      </c>
      <c r="E26" s="261">
        <f>vlookup($B26,'5월'!$I:$J, 2, false)</f>
        <v>10</v>
      </c>
      <c r="F26" s="261">
        <f>vlookup($B26,'6월'!$I:$J, 2, false)</f>
        <v>0</v>
      </c>
      <c r="G26" s="261">
        <f>vlookup($B26,'7월'!$I:$J, 2, false)</f>
        <v>0</v>
      </c>
      <c r="H26" s="261">
        <f>vlookup($B26,'8월'!$I:$J, 2, false)</f>
        <v>0</v>
      </c>
      <c r="I26" s="261">
        <f>vlookup($B26,'9월'!$I:$J, 2, false)</f>
        <v>0</v>
      </c>
      <c r="J26" s="261">
        <f>vlookup($B26,'10월'!$I:$J, 2, false)</f>
        <v>0</v>
      </c>
      <c r="K26" s="261">
        <f>vlookup($B26,'11월'!$I:$J, 2, false)</f>
        <v>9</v>
      </c>
      <c r="L26" s="261">
        <f>vlookup($B26,'12월'!$I:$J, 2, false)</f>
        <v>0</v>
      </c>
      <c r="M26" s="261">
        <f>vlookup($B26,'2026-1월'!$I:$J, 2, false)</f>
        <v>0</v>
      </c>
      <c r="N26" s="261">
        <f>vlookup($B26,'2026-2월'!$I:$J, 2, false)</f>
        <v>0</v>
      </c>
      <c r="O26" s="262">
        <f t="shared" si="3"/>
        <v>19</v>
      </c>
    </row>
    <row r="27">
      <c r="B27" s="20" t="s">
        <v>53</v>
      </c>
      <c r="C27" s="261">
        <f>vlookup($B27,'3월'!$I:$J, 2, false)</f>
        <v>8</v>
      </c>
      <c r="D27" s="261">
        <f>vlookup($B27,'4월'!$I:$J, 2, false)</f>
        <v>6</v>
      </c>
      <c r="E27" s="261">
        <f>vlookup($B27,'5월'!$I:$J, 2, false)</f>
        <v>8</v>
      </c>
      <c r="F27" s="261">
        <f>vlookup($B27,'6월'!$I:$J, 2, false)</f>
        <v>0</v>
      </c>
      <c r="G27" s="261">
        <f>vlookup($B27,'7월'!$I:$J, 2, false)</f>
        <v>0</v>
      </c>
      <c r="H27" s="261">
        <f>vlookup($B27,'8월'!$I:$J, 2, false)</f>
        <v>0</v>
      </c>
      <c r="I27" s="261">
        <f>vlookup($B27,'9월'!$I:$J, 2, false)</f>
        <v>8</v>
      </c>
      <c r="J27" s="261">
        <f>vlookup($B27,'10월'!$I:$J, 2, false)</f>
        <v>6</v>
      </c>
      <c r="K27" s="261">
        <f>vlookup($B27,'11월'!$I:$J, 2, false)</f>
        <v>6</v>
      </c>
      <c r="L27" s="261">
        <f>vlookup($B27,'12월'!$I:$J, 2, false)</f>
        <v>0</v>
      </c>
      <c r="M27" s="261">
        <f>vlookup($B27,'2026-1월'!$I:$J, 2, false)</f>
        <v>0</v>
      </c>
      <c r="N27" s="261">
        <f>vlookup($B27,'2026-2월'!$I:$J, 2, false)</f>
        <v>0</v>
      </c>
      <c r="O27" s="262">
        <f t="shared" si="3"/>
        <v>42</v>
      </c>
    </row>
    <row r="28">
      <c r="B28" s="20" t="s">
        <v>55</v>
      </c>
      <c r="C28" s="261">
        <f>vlookup($B28,'3월'!$I:$J, 2, false)</f>
        <v>0</v>
      </c>
      <c r="D28" s="261">
        <f>vlookup($B28,'4월'!$I:$J, 2, false)</f>
        <v>0</v>
      </c>
      <c r="E28" s="261">
        <f>vlookup($B28,'5월'!$I:$J, 2, false)</f>
        <v>0</v>
      </c>
      <c r="F28" s="261">
        <f>vlookup($B28,'6월'!$I:$J, 2, false)</f>
        <v>0</v>
      </c>
      <c r="G28" s="261">
        <f>vlookup($B28,'7월'!$I:$J, 2, false)</f>
        <v>0</v>
      </c>
      <c r="H28" s="261">
        <f>vlookup($B28,'8월'!$I:$J, 2, false)</f>
        <v>0</v>
      </c>
      <c r="I28" s="261">
        <f>vlookup($B28,'9월'!$I:$J, 2, false)</f>
        <v>0</v>
      </c>
      <c r="J28" s="261">
        <f>vlookup($B28,'10월'!$I:$J, 2, false)</f>
        <v>0</v>
      </c>
      <c r="K28" s="261">
        <f>vlookup($B28,'11월'!$I:$J, 2, false)</f>
        <v>0</v>
      </c>
      <c r="L28" s="261">
        <f>vlookup($B28,'12월'!$I:$J, 2, false)</f>
        <v>0</v>
      </c>
      <c r="M28" s="261">
        <f>vlookup($B28,'2026-1월'!$I:$J, 2, false)</f>
        <v>0</v>
      </c>
      <c r="N28" s="261">
        <f>vlookup($B28,'2026-2월'!$I:$J, 2, false)</f>
        <v>0</v>
      </c>
      <c r="O28" s="262">
        <f t="shared" si="3"/>
        <v>0</v>
      </c>
    </row>
    <row r="29">
      <c r="B29" s="20" t="s">
        <v>57</v>
      </c>
      <c r="C29" s="261">
        <f>vlookup($B29,'3월'!$I:$J, 2, false)</f>
        <v>0</v>
      </c>
      <c r="D29" s="261">
        <f>vlookup($B29,'4월'!$I:$J, 2, false)</f>
        <v>0</v>
      </c>
      <c r="E29" s="261">
        <f>vlookup($B29,'5월'!$I:$J, 2, false)</f>
        <v>0</v>
      </c>
      <c r="F29" s="261">
        <f>vlookup($B29,'6월'!$I:$J, 2, false)</f>
        <v>0</v>
      </c>
      <c r="G29" s="261">
        <f>vlookup($B29,'7월'!$I:$J, 2, false)</f>
        <v>0</v>
      </c>
      <c r="H29" s="261">
        <f>vlookup($B29,'8월'!$I:$J, 2, false)</f>
        <v>0</v>
      </c>
      <c r="I29" s="261">
        <f>vlookup($B29,'9월'!$I:$J, 2, false)</f>
        <v>0</v>
      </c>
      <c r="J29" s="261">
        <f>vlookup($B29,'10월'!$I:$J, 2, false)</f>
        <v>0</v>
      </c>
      <c r="K29" s="261">
        <f>vlookup($B29,'11월'!$I:$J, 2, false)</f>
        <v>0</v>
      </c>
      <c r="L29" s="261">
        <f>vlookup($B29,'12월'!$I:$J, 2, false)</f>
        <v>0</v>
      </c>
      <c r="M29" s="261">
        <f>vlookup($B29,'2026-1월'!$I:$J, 2, false)</f>
        <v>0</v>
      </c>
      <c r="N29" s="261">
        <f>vlookup($B29,'2026-2월'!$I:$J, 2, false)</f>
        <v>0</v>
      </c>
      <c r="O29" s="262">
        <f t="shared" si="3"/>
        <v>0</v>
      </c>
    </row>
    <row r="30">
      <c r="B30" s="20" t="s">
        <v>58</v>
      </c>
      <c r="C30" s="261">
        <f>vlookup($B30,'3월'!$I:$J, 2, false)</f>
        <v>0</v>
      </c>
      <c r="D30" s="261">
        <f>vlookup($B30,'4월'!$I:$J, 2, false)</f>
        <v>0</v>
      </c>
      <c r="E30" s="261">
        <f>vlookup($B30,'5월'!$I:$J, 2, false)</f>
        <v>0</v>
      </c>
      <c r="F30" s="261">
        <f>vlookup($B30,'6월'!$I:$J, 2, false)</f>
        <v>0</v>
      </c>
      <c r="G30" s="261">
        <f>vlookup($B30,'7월'!$I:$J, 2, false)</f>
        <v>0</v>
      </c>
      <c r="H30" s="261">
        <f>vlookup($B30,'8월'!$I:$J, 2, false)</f>
        <v>0</v>
      </c>
      <c r="I30" s="261">
        <f>vlookup($B30,'9월'!$I:$J, 2, false)</f>
        <v>0</v>
      </c>
      <c r="J30" s="261">
        <f>vlookup($B30,'10월'!$I:$J, 2, false)</f>
        <v>0</v>
      </c>
      <c r="K30" s="261">
        <f>vlookup($B30,'11월'!$I:$J, 2, false)</f>
        <v>0</v>
      </c>
      <c r="L30" s="261">
        <f>vlookup($B30,'12월'!$I:$J, 2, false)</f>
        <v>0</v>
      </c>
      <c r="M30" s="261">
        <f>vlookup($B30,'2026-1월'!$I:$J, 2, false)</f>
        <v>0</v>
      </c>
      <c r="N30" s="261">
        <f>vlookup($B30,'2026-2월'!$I:$J, 2, false)</f>
        <v>0</v>
      </c>
      <c r="O30" s="262">
        <f t="shared" si="3"/>
        <v>0</v>
      </c>
    </row>
    <row r="31">
      <c r="B31" s="20" t="s">
        <v>59</v>
      </c>
      <c r="C31" s="261">
        <f>vlookup($B31,'3월'!$I:$J, 2, false)</f>
        <v>21</v>
      </c>
      <c r="D31" s="261">
        <f>vlookup($B31,'4월'!$I:$J, 2, false)</f>
        <v>8</v>
      </c>
      <c r="E31" s="261">
        <f>vlookup($B31,'5월'!$I:$J, 2, false)</f>
        <v>12</v>
      </c>
      <c r="F31" s="261">
        <f>vlookup($B31,'6월'!$I:$J, 2, false)</f>
        <v>4</v>
      </c>
      <c r="G31" s="261">
        <f>vlookup($B31,'7월'!$I:$J, 2, false)</f>
        <v>4</v>
      </c>
      <c r="H31" s="261">
        <f>vlookup($B31,'8월'!$I:$J, 2, false)</f>
        <v>2</v>
      </c>
      <c r="I31" s="261">
        <f>vlookup($B31,'9월'!$I:$J, 2, false)</f>
        <v>24</v>
      </c>
      <c r="J31" s="261">
        <f>vlookup($B31,'10월'!$I:$J, 2, false)</f>
        <v>11</v>
      </c>
      <c r="K31" s="261">
        <f>vlookup($B31,'11월'!$I:$J, 2, false)</f>
        <v>21</v>
      </c>
      <c r="L31" s="261">
        <f>vlookup($B31,'12월'!$I:$J, 2, false)</f>
        <v>6</v>
      </c>
      <c r="M31" s="261">
        <f>vlookup($B31,'2026-1월'!$I:$J, 2, false)</f>
        <v>9</v>
      </c>
      <c r="N31" s="261">
        <f>vlookup($B31,'2026-2월'!$I:$J, 2, false)</f>
        <v>0</v>
      </c>
      <c r="O31" s="262">
        <f t="shared" si="3"/>
        <v>122</v>
      </c>
    </row>
    <row r="32">
      <c r="B32" s="20" t="s">
        <v>60</v>
      </c>
      <c r="C32" s="261">
        <f>vlookup($B32,'3월'!$I:$J, 2, false)</f>
        <v>12</v>
      </c>
      <c r="D32" s="261">
        <f>vlookup($B32,'4월'!$I:$J, 2, false)</f>
        <v>6</v>
      </c>
      <c r="E32" s="261">
        <f>vlookup($B32,'5월'!$I:$J, 2, false)</f>
        <v>10</v>
      </c>
      <c r="F32" s="261">
        <f>vlookup($B32,'6월'!$I:$J, 2, false)</f>
        <v>4</v>
      </c>
      <c r="G32" s="261">
        <f>vlookup($B32,'7월'!$I:$J, 2, false)</f>
        <v>4</v>
      </c>
      <c r="H32" s="261">
        <f>vlookup($B32,'8월'!$I:$J, 2, false)</f>
        <v>2</v>
      </c>
      <c r="I32" s="261">
        <f>vlookup($B32,'9월'!$I:$J, 2, false)</f>
        <v>9</v>
      </c>
      <c r="J32" s="261">
        <f>vlookup($B32,'10월'!$I:$J, 2, false)</f>
        <v>11</v>
      </c>
      <c r="K32" s="261">
        <f>vlookup($B32,'11월'!$I:$J, 2, false)</f>
        <v>11</v>
      </c>
      <c r="L32" s="261">
        <f>vlookup($B32,'12월'!$I:$J, 2, false)</f>
        <v>6</v>
      </c>
      <c r="M32" s="261">
        <f>vlookup($B32,'2026-1월'!$I:$J, 2, false)</f>
        <v>6</v>
      </c>
      <c r="N32" s="261">
        <f>vlookup($B32,'2026-2월'!$I:$J, 2, false)</f>
        <v>3</v>
      </c>
      <c r="O32" s="262">
        <f t="shared" si="3"/>
        <v>84</v>
      </c>
    </row>
    <row r="33">
      <c r="B33" s="20" t="s">
        <v>61</v>
      </c>
      <c r="C33" s="261">
        <f>vlookup($B33,'3월'!$I:$J, 2, false)</f>
        <v>22</v>
      </c>
      <c r="D33" s="261">
        <f>vlookup($B33,'4월'!$I:$J, 2, false)</f>
        <v>11</v>
      </c>
      <c r="E33" s="261">
        <f>vlookup($B33,'5월'!$I:$J, 2, false)</f>
        <v>11</v>
      </c>
      <c r="F33" s="261">
        <f>vlookup($B33,'6월'!$I:$J, 2, false)</f>
        <v>6</v>
      </c>
      <c r="G33" s="261">
        <f>vlookup($B33,'7월'!$I:$J, 2, false)</f>
        <v>2</v>
      </c>
      <c r="H33" s="261">
        <f>vlookup($B33,'8월'!$I:$J, 2, false)</f>
        <v>4</v>
      </c>
      <c r="I33" s="261">
        <f>vlookup($B33,'9월'!$I:$J, 2, false)</f>
        <v>14</v>
      </c>
      <c r="J33" s="261">
        <f>vlookup($B33,'10월'!$I:$J, 2, false)</f>
        <v>1</v>
      </c>
      <c r="K33" s="261">
        <f>vlookup($B33,'11월'!$I:$J, 2, false)</f>
        <v>14</v>
      </c>
      <c r="L33" s="261">
        <f>vlookup($B33,'12월'!$I:$J, 2, false)</f>
        <v>4</v>
      </c>
      <c r="M33" s="261">
        <f>vlookup($B33,'2026-1월'!$I:$J, 2, false)</f>
        <v>2</v>
      </c>
      <c r="N33" s="261">
        <f>vlookup($B33,'2026-2월'!$I:$J, 2, false)</f>
        <v>3</v>
      </c>
      <c r="O33" s="262">
        <f t="shared" si="3"/>
        <v>94</v>
      </c>
    </row>
    <row r="34">
      <c r="B34" s="20" t="s">
        <v>62</v>
      </c>
      <c r="C34" s="261">
        <f>vlookup($B34,'3월'!$I:$J, 2, false)</f>
        <v>5</v>
      </c>
      <c r="D34" s="261">
        <f>vlookup($B34,'4월'!$I:$J, 2, false)</f>
        <v>3</v>
      </c>
      <c r="E34" s="261">
        <f>vlookup($B34,'5월'!$I:$J, 2, false)</f>
        <v>5</v>
      </c>
      <c r="F34" s="261">
        <f>vlookup($B34,'6월'!$I:$J, 2, false)</f>
        <v>2</v>
      </c>
      <c r="G34" s="261">
        <f>vlookup($B34,'7월'!$I:$J, 2, false)</f>
        <v>4</v>
      </c>
      <c r="H34" s="261">
        <f>vlookup($B34,'8월'!$I:$J, 2, false)</f>
        <v>2</v>
      </c>
      <c r="I34" s="261">
        <f>vlookup($B34,'9월'!$I:$J, 2, false)</f>
        <v>4</v>
      </c>
      <c r="J34" s="261">
        <f>vlookup($B34,'10월'!$I:$J, 2, false)</f>
        <v>2</v>
      </c>
      <c r="K34" s="261">
        <f>vlookup($B34,'11월'!$I:$J, 2, false)</f>
        <v>2</v>
      </c>
      <c r="L34" s="261">
        <f>vlookup($B34,'12월'!$I:$J, 2, false)</f>
        <v>2</v>
      </c>
      <c r="M34" s="261">
        <f>vlookup($B34,'2026-1월'!$I:$J, 2, false)</f>
        <v>4</v>
      </c>
      <c r="N34" s="261">
        <f>vlookup($B34,'2026-2월'!$I:$J, 2, false)</f>
        <v>0</v>
      </c>
      <c r="O34" s="262">
        <f t="shared" si="3"/>
        <v>35</v>
      </c>
    </row>
    <row r="35">
      <c r="B35" s="20" t="s">
        <v>63</v>
      </c>
      <c r="C35" s="261">
        <f>vlookup($B35,'3월'!$I:$J, 2, false)</f>
        <v>0</v>
      </c>
      <c r="D35" s="261">
        <f>vlookup($B35,'4월'!$I:$J, 2, false)</f>
        <v>0</v>
      </c>
      <c r="E35" s="261">
        <f>vlookup($B35,'5월'!$I:$J, 2, false)</f>
        <v>0</v>
      </c>
      <c r="F35" s="261">
        <f>vlookup($B35,'6월'!$I:$J, 2, false)</f>
        <v>0</v>
      </c>
      <c r="G35" s="261">
        <f>vlookup($B35,'7월'!$I:$J, 2, false)</f>
        <v>0</v>
      </c>
      <c r="H35" s="261">
        <f>vlookup($B35,'8월'!$I:$J, 2, false)</f>
        <v>0</v>
      </c>
      <c r="I35" s="261">
        <f>vlookup($B35,'9월'!$I:$J, 2, false)</f>
        <v>0</v>
      </c>
      <c r="J35" s="261">
        <f>vlookup($B35,'10월'!$I:$J, 2, false)</f>
        <v>0</v>
      </c>
      <c r="K35" s="261">
        <f>vlookup($B35,'11월'!$I:$J, 2, false)</f>
        <v>0</v>
      </c>
      <c r="L35" s="261">
        <f>vlookup($B35,'12월'!$I:$J, 2, false)</f>
        <v>0</v>
      </c>
      <c r="M35" s="261">
        <f>vlookup($B35,'2026-1월'!$I:$J, 2, false)</f>
        <v>0</v>
      </c>
      <c r="N35" s="261">
        <f>vlookup($B35,'2026-2월'!$I:$J, 2, false)</f>
        <v>0</v>
      </c>
      <c r="O35" s="262">
        <f t="shared" si="3"/>
        <v>0</v>
      </c>
    </row>
    <row r="36">
      <c r="B36" s="20" t="s">
        <v>65</v>
      </c>
      <c r="C36" s="261">
        <f>vlookup($B36,'3월'!$I:$J, 2, false)</f>
        <v>8</v>
      </c>
      <c r="D36" s="261">
        <f>vlookup($B36,'4월'!$I:$J, 2, false)</f>
        <v>6</v>
      </c>
      <c r="E36" s="261">
        <f>vlookup($B36,'5월'!$I:$J, 2, false)</f>
        <v>8</v>
      </c>
      <c r="F36" s="261">
        <f>vlookup($B36,'6월'!$I:$J, 2, false)</f>
        <v>4</v>
      </c>
      <c r="G36" s="261">
        <f>vlookup($B36,'7월'!$I:$J, 2, false)</f>
        <v>4</v>
      </c>
      <c r="H36" s="261">
        <f>vlookup($B36,'8월'!$I:$J, 2, false)</f>
        <v>4</v>
      </c>
      <c r="I36" s="261">
        <f>vlookup($B36,'9월'!$I:$J, 2, false)</f>
        <v>10</v>
      </c>
      <c r="J36" s="261">
        <f>vlookup($B36,'10월'!$I:$J, 2, false)</f>
        <v>6</v>
      </c>
      <c r="K36" s="261">
        <f>vlookup($B36,'11월'!$I:$J, 2, false)</f>
        <v>8</v>
      </c>
      <c r="L36" s="261">
        <f>vlookup($B36,'12월'!$I:$J, 2, false)</f>
        <v>4</v>
      </c>
      <c r="M36" s="261">
        <f>vlookup($B36,'2026-1월'!$I:$J, 2, false)</f>
        <v>4</v>
      </c>
      <c r="N36" s="261">
        <f>vlookup($B36,'2026-2월'!$I:$J, 2, false)</f>
        <v>0</v>
      </c>
      <c r="O36" s="262">
        <f t="shared" si="3"/>
        <v>66</v>
      </c>
    </row>
    <row r="37">
      <c r="B37" s="20" t="s">
        <v>66</v>
      </c>
      <c r="C37" s="261">
        <f>vlookup($B37,'3월'!$I:$J, 2, false)</f>
        <v>0</v>
      </c>
      <c r="D37" s="261">
        <f>vlookup($B37,'4월'!$I:$J, 2, false)</f>
        <v>0</v>
      </c>
      <c r="E37" s="261">
        <f>vlookup($B37,'5월'!$I:$J, 2, false)</f>
        <v>0</v>
      </c>
      <c r="F37" s="261">
        <f>vlookup($B37,'6월'!$I:$J, 2, false)</f>
        <v>0</v>
      </c>
      <c r="G37" s="261">
        <f>vlookup($B37,'7월'!$I:$J, 2, false)</f>
        <v>0</v>
      </c>
      <c r="H37" s="261">
        <f>vlookup($B37,'8월'!$I:$J, 2, false)</f>
        <v>0</v>
      </c>
      <c r="I37" s="261">
        <f>vlookup($B37,'9월'!$I:$J, 2, false)</f>
        <v>0</v>
      </c>
      <c r="J37" s="261">
        <f>vlookup($B37,'10월'!$I:$J, 2, false)</f>
        <v>0</v>
      </c>
      <c r="K37" s="261">
        <f>vlookup($B37,'11월'!$I:$J, 2, false)</f>
        <v>0</v>
      </c>
      <c r="L37" s="261">
        <f>vlookup($B37,'12월'!$I:$J, 2, false)</f>
        <v>0</v>
      </c>
      <c r="M37" s="261">
        <f>vlookup($B37,'2026-1월'!$I:$J, 2, false)</f>
        <v>0</v>
      </c>
      <c r="N37" s="261">
        <f>vlookup($B37,'2026-2월'!$I:$J, 2, false)</f>
        <v>0</v>
      </c>
      <c r="O37" s="262">
        <f t="shared" si="3"/>
        <v>0</v>
      </c>
    </row>
    <row r="38">
      <c r="B38" s="268" t="s">
        <v>746</v>
      </c>
      <c r="C38" s="262">
        <f t="shared" ref="C38:O38" si="4">sum(C15:C37)</f>
        <v>209</v>
      </c>
      <c r="D38" s="262">
        <f t="shared" si="4"/>
        <v>112</v>
      </c>
      <c r="E38" s="262">
        <f t="shared" si="4"/>
        <v>145</v>
      </c>
      <c r="F38" s="262">
        <f t="shared" si="4"/>
        <v>62</v>
      </c>
      <c r="G38" s="262">
        <f t="shared" si="4"/>
        <v>54</v>
      </c>
      <c r="H38" s="262">
        <f t="shared" si="4"/>
        <v>51</v>
      </c>
      <c r="I38" s="262">
        <f t="shared" si="4"/>
        <v>192</v>
      </c>
      <c r="J38" s="262">
        <f t="shared" si="4"/>
        <v>81</v>
      </c>
      <c r="K38" s="262">
        <f t="shared" si="4"/>
        <v>177</v>
      </c>
      <c r="L38" s="262">
        <f t="shared" si="4"/>
        <v>64</v>
      </c>
      <c r="M38" s="262">
        <f t="shared" si="4"/>
        <v>71</v>
      </c>
      <c r="N38" s="262">
        <f t="shared" si="4"/>
        <v>30</v>
      </c>
      <c r="O38" s="262">
        <f t="shared" si="4"/>
        <v>1248</v>
      </c>
      <c r="P38" s="263">
        <f>sum(O15:O37)</f>
        <v>1248</v>
      </c>
    </row>
  </sheetData>
  <mergeCells count="1">
    <mergeCell ref="P3:P4"/>
  </mergeCells>
  <drawing r:id="rId1"/>
</worksheet>
</file>