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이서영\1. 진로취업컨설팅\"/>
    </mc:Choice>
  </mc:AlternateContent>
  <xr:revisionPtr revIDLastSave="0" documentId="13_ncr:1_{247AF932-E56E-417D-9259-D1521C68500D}" xr6:coauthVersionLast="47" xr6:coauthVersionMax="47" xr10:uidLastSave="{00000000-0000-0000-0000-000000000000}"/>
  <bookViews>
    <workbookView xWindow="-120" yWindow="-120" windowWidth="29040" windowHeight="15720" tabRatio="671" activeTab="1" xr2:uid="{00000000-000D-0000-FFFF-FFFF00000000}"/>
  </bookViews>
  <sheets>
    <sheet name="2025-상반기" sheetId="9" r:id="rId1"/>
    <sheet name="2025-하반기" sheetId="15" r:id="rId2"/>
  </sheets>
  <definedNames>
    <definedName name="_xlnm._FilterDatabase" localSheetId="0" hidden="1">'2025-상반기'!$A$1:$E$633</definedName>
    <definedName name="_xlnm._FilterDatabase" localSheetId="1" hidden="1">'2025-하반기'!$A$2:$E$649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15" l="1" a="1"/>
  <c r="I19" i="15" s="1"/>
  <c r="N32" i="15"/>
  <c r="O31" i="15"/>
  <c r="W26" i="15"/>
  <c r="V26" i="15"/>
  <c r="U26" i="15"/>
  <c r="T26" i="15"/>
  <c r="S26" i="15"/>
  <c r="R26" i="15"/>
  <c r="X25" i="15"/>
  <c r="N25" i="15" a="1"/>
  <c r="N25" i="15" s="1"/>
  <c r="M25" i="15" a="1"/>
  <c r="M25" i="15" s="1"/>
  <c r="L25" i="15" a="1"/>
  <c r="L25" i="15" s="1"/>
  <c r="K25" i="15" a="1"/>
  <c r="K25" i="15" s="1"/>
  <c r="J25" i="15" a="1"/>
  <c r="J25" i="15" s="1"/>
  <c r="I25" i="15" a="1"/>
  <c r="I25" i="15" s="1"/>
  <c r="H25" i="15" a="1"/>
  <c r="H25" i="15" s="1"/>
  <c r="X21" i="15"/>
  <c r="N21" i="15" a="1"/>
  <c r="N21" i="15" s="1"/>
  <c r="M21" i="15" a="1"/>
  <c r="M21" i="15" s="1"/>
  <c r="L21" i="15" a="1"/>
  <c r="L21" i="15" s="1"/>
  <c r="K21" i="15" a="1"/>
  <c r="K21" i="15" s="1"/>
  <c r="J21" i="15" a="1"/>
  <c r="J21" i="15" s="1"/>
  <c r="I21" i="15" a="1"/>
  <c r="I21" i="15" s="1"/>
  <c r="H21" i="15" a="1"/>
  <c r="H21" i="15" s="1"/>
  <c r="X20" i="15"/>
  <c r="N20" i="15" a="1"/>
  <c r="N20" i="15" s="1"/>
  <c r="M20" i="15" a="1"/>
  <c r="M20" i="15" s="1"/>
  <c r="L20" i="15" a="1"/>
  <c r="L20" i="15" s="1"/>
  <c r="K20" i="15" a="1"/>
  <c r="K20" i="15" s="1"/>
  <c r="J20" i="15" a="1"/>
  <c r="J20" i="15" s="1"/>
  <c r="I20" i="15" a="1"/>
  <c r="I20" i="15" s="1"/>
  <c r="H20" i="15" a="1"/>
  <c r="H20" i="15" s="1"/>
  <c r="X19" i="15"/>
  <c r="N19" i="15" a="1"/>
  <c r="N19" i="15" s="1"/>
  <c r="M19" i="15" a="1"/>
  <c r="M19" i="15" s="1"/>
  <c r="L19" i="15" a="1"/>
  <c r="L19" i="15" s="1"/>
  <c r="K19" i="15" a="1"/>
  <c r="K19" i="15" s="1"/>
  <c r="J19" i="15" a="1"/>
  <c r="J19" i="15" s="1"/>
  <c r="H19" i="15" a="1"/>
  <c r="H19" i="15" s="1"/>
  <c r="X18" i="15"/>
  <c r="N18" i="15" a="1"/>
  <c r="N18" i="15" s="1"/>
  <c r="M18" i="15" a="1"/>
  <c r="M18" i="15" s="1"/>
  <c r="L18" i="15" a="1"/>
  <c r="L18" i="15" s="1"/>
  <c r="K18" i="15" a="1"/>
  <c r="K18" i="15" s="1"/>
  <c r="J18" i="15" a="1"/>
  <c r="J18" i="15" s="1"/>
  <c r="I18" i="15" a="1"/>
  <c r="I18" i="15" s="1"/>
  <c r="H18" i="15" a="1"/>
  <c r="H18" i="15" s="1"/>
  <c r="X17" i="15"/>
  <c r="N17" i="15" a="1"/>
  <c r="N17" i="15" s="1"/>
  <c r="M17" i="15" a="1"/>
  <c r="M17" i="15" s="1"/>
  <c r="L17" i="15" a="1"/>
  <c r="L17" i="15" s="1"/>
  <c r="K17" i="15" a="1"/>
  <c r="K17" i="15" s="1"/>
  <c r="J17" i="15" a="1"/>
  <c r="J17" i="15" s="1"/>
  <c r="I17" i="15" a="1"/>
  <c r="I17" i="15" s="1"/>
  <c r="H17" i="15" a="1"/>
  <c r="H17" i="15" s="1"/>
  <c r="X16" i="15"/>
  <c r="N16" i="15" a="1"/>
  <c r="N16" i="15" s="1"/>
  <c r="M16" i="15" a="1"/>
  <c r="M16" i="15" s="1"/>
  <c r="L16" i="15" a="1"/>
  <c r="L16" i="15" s="1"/>
  <c r="K16" i="15" a="1"/>
  <c r="K16" i="15" s="1"/>
  <c r="J16" i="15" a="1"/>
  <c r="J16" i="15" s="1"/>
  <c r="I16" i="15" a="1"/>
  <c r="I16" i="15" s="1"/>
  <c r="H16" i="15" a="1"/>
  <c r="H16" i="15" s="1"/>
  <c r="X15" i="15"/>
  <c r="N15" i="15" a="1"/>
  <c r="N15" i="15" s="1"/>
  <c r="M15" i="15" a="1"/>
  <c r="M15" i="15" s="1"/>
  <c r="L15" i="15" a="1"/>
  <c r="L15" i="15" s="1"/>
  <c r="K15" i="15" a="1"/>
  <c r="K15" i="15" s="1"/>
  <c r="J15" i="15" a="1"/>
  <c r="J15" i="15" s="1"/>
  <c r="I15" i="15" a="1"/>
  <c r="I15" i="15" s="1"/>
  <c r="H15" i="15" a="1"/>
  <c r="H15" i="15" s="1"/>
  <c r="X14" i="15"/>
  <c r="N14" i="15" a="1"/>
  <c r="N14" i="15" s="1"/>
  <c r="M14" i="15" a="1"/>
  <c r="M14" i="15" s="1"/>
  <c r="L14" i="15" a="1"/>
  <c r="L14" i="15" s="1"/>
  <c r="K14" i="15" a="1"/>
  <c r="K14" i="15" s="1"/>
  <c r="J14" i="15" a="1"/>
  <c r="J14" i="15" s="1"/>
  <c r="I14" i="15" a="1"/>
  <c r="I14" i="15" s="1"/>
  <c r="H14" i="15" a="1"/>
  <c r="H14" i="15" s="1"/>
  <c r="X13" i="15"/>
  <c r="N13" i="15" a="1"/>
  <c r="N13" i="15" s="1"/>
  <c r="M13" i="15" a="1"/>
  <c r="M13" i="15" s="1"/>
  <c r="L13" i="15" a="1"/>
  <c r="L13" i="15" s="1"/>
  <c r="K13" i="15" a="1"/>
  <c r="K13" i="15" s="1"/>
  <c r="J13" i="15" a="1"/>
  <c r="J13" i="15" s="1"/>
  <c r="I13" i="15" a="1"/>
  <c r="I13" i="15" s="1"/>
  <c r="H13" i="15" a="1"/>
  <c r="H13" i="15" s="1"/>
  <c r="X12" i="15"/>
  <c r="N12" i="15" a="1"/>
  <c r="N12" i="15" s="1"/>
  <c r="M12" i="15" a="1"/>
  <c r="M12" i="15" s="1"/>
  <c r="L12" i="15" a="1"/>
  <c r="L12" i="15" s="1"/>
  <c r="K12" i="15" a="1"/>
  <c r="K12" i="15" s="1"/>
  <c r="J12" i="15" a="1"/>
  <c r="J12" i="15" s="1"/>
  <c r="I12" i="15" a="1"/>
  <c r="I12" i="15" s="1"/>
  <c r="H12" i="15" a="1"/>
  <c r="H12" i="15" s="1"/>
  <c r="X9" i="15"/>
  <c r="N9" i="15" a="1"/>
  <c r="N9" i="15" s="1"/>
  <c r="M9" i="15" a="1"/>
  <c r="M9" i="15" s="1"/>
  <c r="L9" i="15" a="1"/>
  <c r="L9" i="15" s="1"/>
  <c r="K9" i="15" a="1"/>
  <c r="K9" i="15" s="1"/>
  <c r="J9" i="15" a="1"/>
  <c r="J9" i="15" s="1"/>
  <c r="I9" i="15" a="1"/>
  <c r="I9" i="15" s="1"/>
  <c r="H9" i="15" a="1"/>
  <c r="H9" i="15" s="1"/>
  <c r="X8" i="15"/>
  <c r="N8" i="15" a="1"/>
  <c r="N8" i="15" s="1"/>
  <c r="M8" i="15" a="1"/>
  <c r="M8" i="15" s="1"/>
  <c r="L8" i="15" a="1"/>
  <c r="L8" i="15" s="1"/>
  <c r="K8" i="15" a="1"/>
  <c r="K8" i="15" s="1"/>
  <c r="J8" i="15" a="1"/>
  <c r="J8" i="15" s="1"/>
  <c r="I8" i="15" a="1"/>
  <c r="I8" i="15" s="1"/>
  <c r="H8" i="15" a="1"/>
  <c r="H8" i="15" s="1"/>
  <c r="X7" i="15"/>
  <c r="N7" i="15" a="1"/>
  <c r="N7" i="15" s="1"/>
  <c r="M7" i="15" a="1"/>
  <c r="M7" i="15" s="1"/>
  <c r="L7" i="15" a="1"/>
  <c r="L7" i="15" s="1"/>
  <c r="K7" i="15" a="1"/>
  <c r="K7" i="15" s="1"/>
  <c r="J7" i="15" a="1"/>
  <c r="J7" i="15" s="1"/>
  <c r="I7" i="15" a="1"/>
  <c r="I7" i="15" s="1"/>
  <c r="H7" i="15" a="1"/>
  <c r="H7" i="15" s="1"/>
  <c r="X6" i="15"/>
  <c r="N6" i="15" a="1"/>
  <c r="N6" i="15" s="1"/>
  <c r="M6" i="15" a="1"/>
  <c r="M6" i="15" s="1"/>
  <c r="L6" i="15" a="1"/>
  <c r="L6" i="15" s="1"/>
  <c r="K6" i="15" a="1"/>
  <c r="K6" i="15" s="1"/>
  <c r="J6" i="15" a="1"/>
  <c r="J6" i="15" s="1"/>
  <c r="I6" i="15" a="1"/>
  <c r="I6" i="15" s="1"/>
  <c r="H6" i="15" a="1"/>
  <c r="H6" i="15" s="1"/>
  <c r="X5" i="15"/>
  <c r="N5" i="15" a="1"/>
  <c r="N5" i="15" s="1"/>
  <c r="M5" i="15" a="1"/>
  <c r="M5" i="15" s="1"/>
  <c r="L5" i="15" a="1"/>
  <c r="L5" i="15" s="1"/>
  <c r="K5" i="15" a="1"/>
  <c r="K5" i="15" s="1"/>
  <c r="J5" i="15" a="1"/>
  <c r="J5" i="15" s="1"/>
  <c r="I5" i="15" a="1"/>
  <c r="I5" i="15" s="1"/>
  <c r="H5" i="15" a="1"/>
  <c r="H5" i="15" s="1"/>
  <c r="X4" i="15"/>
  <c r="N4" i="15" a="1"/>
  <c r="N4" i="15" s="1"/>
  <c r="M4" i="15" a="1"/>
  <c r="M4" i="15" s="1"/>
  <c r="L4" i="15" a="1"/>
  <c r="L4" i="15" s="1"/>
  <c r="K4" i="15" a="1"/>
  <c r="K4" i="15" s="1"/>
  <c r="J4" i="15" a="1"/>
  <c r="J4" i="15" s="1"/>
  <c r="I4" i="15" a="1"/>
  <c r="I4" i="15" s="1"/>
  <c r="H4" i="15" a="1"/>
  <c r="H4" i="15" s="1"/>
  <c r="X3" i="15"/>
  <c r="N3" i="15" a="1"/>
  <c r="N3" i="15" s="1"/>
  <c r="M3" i="15" a="1"/>
  <c r="M3" i="15" s="1"/>
  <c r="L3" i="15" a="1"/>
  <c r="L3" i="15" s="1"/>
  <c r="K3" i="15" a="1"/>
  <c r="K3" i="15" s="1"/>
  <c r="J3" i="15" a="1"/>
  <c r="J3" i="15" s="1"/>
  <c r="I3" i="15" a="1"/>
  <c r="I3" i="15" s="1"/>
  <c r="H3" i="15" a="1"/>
  <c r="H3" i="15" s="1"/>
  <c r="X27" i="15" l="1"/>
  <c r="X26" i="15"/>
  <c r="M26" i="15"/>
  <c r="L26" i="15"/>
  <c r="N26" i="15"/>
  <c r="I26" i="15"/>
  <c r="J26" i="15"/>
  <c r="K26" i="15"/>
  <c r="O5" i="15"/>
  <c r="O7" i="15"/>
  <c r="O8" i="15"/>
  <c r="O9" i="15"/>
  <c r="O12" i="15"/>
  <c r="O13" i="15"/>
  <c r="O14" i="15"/>
  <c r="O15" i="15"/>
  <c r="O16" i="15"/>
  <c r="O17" i="15"/>
  <c r="O4" i="15"/>
  <c r="H26" i="15"/>
  <c r="O3" i="15"/>
  <c r="O6" i="15"/>
  <c r="O18" i="15"/>
  <c r="O19" i="15"/>
  <c r="O20" i="15"/>
  <c r="O21" i="15"/>
  <c r="O25" i="15"/>
  <c r="O26" i="15" l="1"/>
  <c r="N27" i="15"/>
  <c r="O27" i="15"/>
  <c r="N3" i="9" l="1" a="1"/>
  <c r="N3" i="9" s="1"/>
  <c r="N4" i="9" a="1"/>
  <c r="N4" i="9" s="1"/>
  <c r="N5" i="9" a="1"/>
  <c r="N5" i="9" s="1"/>
  <c r="N6" i="9" a="1"/>
  <c r="N6" i="9" s="1"/>
  <c r="N7" i="9" a="1"/>
  <c r="N7" i="9" s="1"/>
  <c r="N8" i="9" a="1"/>
  <c r="N8" i="9" s="1"/>
  <c r="N9" i="9" a="1"/>
  <c r="N9" i="9" s="1"/>
  <c r="N10" i="9" a="1"/>
  <c r="N10" i="9" s="1"/>
  <c r="N11" i="9" a="1"/>
  <c r="N11" i="9" s="1"/>
  <c r="N12" i="9" a="1"/>
  <c r="N12" i="9" s="1"/>
  <c r="N13" i="9" a="1"/>
  <c r="N13" i="9" s="1"/>
  <c r="N14" i="9" a="1"/>
  <c r="N14" i="9" s="1"/>
  <c r="N15" i="9" a="1"/>
  <c r="N15" i="9" s="1"/>
  <c r="N16" i="9" a="1"/>
  <c r="N16" i="9" s="1"/>
  <c r="N17" i="9" a="1"/>
  <c r="N17" i="9" s="1"/>
  <c r="N18" i="9" a="1"/>
  <c r="N18" i="9" s="1"/>
  <c r="N19" i="9" a="1"/>
  <c r="N19" i="9" s="1"/>
  <c r="M3" i="9" a="1"/>
  <c r="M3" i="9" s="1"/>
  <c r="M4" i="9" a="1"/>
  <c r="M4" i="9" s="1"/>
  <c r="M5" i="9" a="1"/>
  <c r="M5" i="9" s="1"/>
  <c r="M6" i="9" a="1"/>
  <c r="M6" i="9" s="1"/>
  <c r="M7" i="9" a="1"/>
  <c r="M7" i="9" s="1"/>
  <c r="M8" i="9" a="1"/>
  <c r="M8" i="9" s="1"/>
  <c r="M9" i="9" a="1"/>
  <c r="M9" i="9" s="1"/>
  <c r="M10" i="9" a="1"/>
  <c r="M10" i="9" s="1"/>
  <c r="M11" i="9" a="1"/>
  <c r="M11" i="9" s="1"/>
  <c r="M12" i="9" a="1"/>
  <c r="M12" i="9" s="1"/>
  <c r="M13" i="9" a="1"/>
  <c r="M13" i="9" s="1"/>
  <c r="M14" i="9" a="1"/>
  <c r="M14" i="9" s="1"/>
  <c r="M15" i="9" a="1"/>
  <c r="M15" i="9" s="1"/>
  <c r="M16" i="9" a="1"/>
  <c r="M16" i="9" s="1"/>
  <c r="M17" i="9" a="1"/>
  <c r="M17" i="9" s="1"/>
  <c r="M18" i="9" a="1"/>
  <c r="M18" i="9" s="1"/>
  <c r="M19" i="9" a="1"/>
  <c r="M19" i="9" s="1"/>
  <c r="L3" i="9" a="1"/>
  <c r="L3" i="9" s="1"/>
  <c r="L4" i="9" a="1"/>
  <c r="L4" i="9" s="1"/>
  <c r="L5" i="9" a="1"/>
  <c r="L5" i="9" s="1"/>
  <c r="L6" i="9" a="1"/>
  <c r="L6" i="9" s="1"/>
  <c r="L7" i="9" a="1"/>
  <c r="L7" i="9" s="1"/>
  <c r="L8" i="9" a="1"/>
  <c r="L8" i="9" s="1"/>
  <c r="L9" i="9" a="1"/>
  <c r="L9" i="9" s="1"/>
  <c r="L10" i="9" a="1"/>
  <c r="L10" i="9" s="1"/>
  <c r="L11" i="9" a="1"/>
  <c r="L11" i="9" s="1"/>
  <c r="L12" i="9" a="1"/>
  <c r="L12" i="9" s="1"/>
  <c r="L13" i="9" a="1"/>
  <c r="L13" i="9" s="1"/>
  <c r="L14" i="9" a="1"/>
  <c r="L14" i="9" s="1"/>
  <c r="L15" i="9" a="1"/>
  <c r="L15" i="9" s="1"/>
  <c r="L16" i="9" a="1"/>
  <c r="L16" i="9" s="1"/>
  <c r="L17" i="9" a="1"/>
  <c r="L17" i="9" s="1"/>
  <c r="L18" i="9" a="1"/>
  <c r="L18" i="9" s="1"/>
  <c r="L19" i="9" a="1"/>
  <c r="L19" i="9" s="1"/>
  <c r="K3" i="9" a="1"/>
  <c r="K3" i="9" s="1"/>
  <c r="K4" i="9" a="1"/>
  <c r="K4" i="9" s="1"/>
  <c r="K5" i="9" a="1"/>
  <c r="K5" i="9" s="1"/>
  <c r="K6" i="9" a="1"/>
  <c r="K6" i="9" s="1"/>
  <c r="K7" i="9" a="1"/>
  <c r="K7" i="9" s="1"/>
  <c r="K8" i="9" a="1"/>
  <c r="K8" i="9" s="1"/>
  <c r="K9" i="9" a="1"/>
  <c r="K9" i="9" s="1"/>
  <c r="K10" i="9" a="1"/>
  <c r="K10" i="9" s="1"/>
  <c r="K11" i="9" a="1"/>
  <c r="K11" i="9" s="1"/>
  <c r="K12" i="9" a="1"/>
  <c r="K12" i="9" s="1"/>
  <c r="K13" i="9" a="1"/>
  <c r="K13" i="9" s="1"/>
  <c r="K14" i="9" a="1"/>
  <c r="K14" i="9" s="1"/>
  <c r="K15" i="9" a="1"/>
  <c r="K15" i="9" s="1"/>
  <c r="K16" i="9" a="1"/>
  <c r="K16" i="9" s="1"/>
  <c r="K17" i="9" a="1"/>
  <c r="K17" i="9" s="1"/>
  <c r="K18" i="9" a="1"/>
  <c r="K18" i="9" s="1"/>
  <c r="K19" i="9" a="1"/>
  <c r="K19" i="9" s="1"/>
  <c r="L2" i="9" a="1"/>
  <c r="L2" i="9" s="1"/>
  <c r="M2" i="9" a="1"/>
  <c r="M2" i="9" s="1"/>
  <c r="N2" i="9" a="1"/>
  <c r="N2" i="9" s="1"/>
  <c r="K2" i="9" a="1"/>
  <c r="K2" i="9" s="1"/>
  <c r="J3" i="9" l="1" a="1"/>
  <c r="J3" i="9" s="1"/>
  <c r="J4" i="9" a="1"/>
  <c r="J4" i="9" s="1"/>
  <c r="J5" i="9" a="1"/>
  <c r="J5" i="9" s="1"/>
  <c r="J6" i="9" a="1"/>
  <c r="J6" i="9" s="1"/>
  <c r="J7" i="9" a="1"/>
  <c r="J7" i="9" s="1"/>
  <c r="J8" i="9" a="1"/>
  <c r="J8" i="9" s="1"/>
  <c r="J9" i="9" a="1"/>
  <c r="J9" i="9" s="1"/>
  <c r="J10" i="9" a="1"/>
  <c r="J10" i="9" s="1"/>
  <c r="J11" i="9" a="1"/>
  <c r="J11" i="9" s="1"/>
  <c r="J12" i="9" a="1"/>
  <c r="J12" i="9" s="1"/>
  <c r="J13" i="9" a="1"/>
  <c r="J13" i="9" s="1"/>
  <c r="J14" i="9" a="1"/>
  <c r="J14" i="9" s="1"/>
  <c r="J15" i="9" a="1"/>
  <c r="J15" i="9" s="1"/>
  <c r="J16" i="9" a="1"/>
  <c r="J16" i="9" s="1"/>
  <c r="J17" i="9" a="1"/>
  <c r="J17" i="9" s="1"/>
  <c r="J18" i="9" a="1"/>
  <c r="J18" i="9" s="1"/>
  <c r="J19" i="9" a="1"/>
  <c r="J19" i="9" s="1"/>
  <c r="J2" i="9" a="1"/>
  <c r="J2" i="9" s="1"/>
  <c r="I3" i="9" a="1"/>
  <c r="I3" i="9" s="1"/>
  <c r="I4" i="9" a="1"/>
  <c r="I4" i="9" s="1"/>
  <c r="I5" i="9" a="1"/>
  <c r="I5" i="9" s="1"/>
  <c r="I6" i="9" a="1"/>
  <c r="I6" i="9" s="1"/>
  <c r="I7" i="9" a="1"/>
  <c r="I7" i="9" s="1"/>
  <c r="I8" i="9" a="1"/>
  <c r="I8" i="9" s="1"/>
  <c r="I9" i="9" a="1"/>
  <c r="I9" i="9" s="1"/>
  <c r="I10" i="9" a="1"/>
  <c r="I10" i="9" s="1"/>
  <c r="I11" i="9" a="1"/>
  <c r="I11" i="9" s="1"/>
  <c r="I12" i="9" a="1"/>
  <c r="I12" i="9" s="1"/>
  <c r="I13" i="9" a="1"/>
  <c r="I13" i="9" s="1"/>
  <c r="I14" i="9" a="1"/>
  <c r="I14" i="9" s="1"/>
  <c r="I15" i="9" a="1"/>
  <c r="I15" i="9" s="1"/>
  <c r="I16" i="9" a="1"/>
  <c r="I16" i="9" s="1"/>
  <c r="I17" i="9" a="1"/>
  <c r="I17" i="9" s="1"/>
  <c r="I18" i="9" a="1"/>
  <c r="I18" i="9" s="1"/>
  <c r="I19" i="9" a="1"/>
  <c r="I19" i="9" s="1"/>
  <c r="I2" i="9" a="1"/>
  <c r="I2" i="9" s="1"/>
  <c r="H3" i="9" a="1"/>
  <c r="H3" i="9" s="1"/>
  <c r="H4" i="9" a="1"/>
  <c r="H4" i="9" s="1"/>
  <c r="H5" i="9" a="1"/>
  <c r="H5" i="9" s="1"/>
  <c r="H6" i="9" a="1"/>
  <c r="H6" i="9" s="1"/>
  <c r="H7" i="9" a="1"/>
  <c r="H7" i="9" s="1"/>
  <c r="H8" i="9" a="1"/>
  <c r="H8" i="9" s="1"/>
  <c r="H9" i="9" a="1"/>
  <c r="H9" i="9" s="1"/>
  <c r="H10" i="9" a="1"/>
  <c r="H10" i="9" s="1"/>
  <c r="H11" i="9" a="1"/>
  <c r="H11" i="9" s="1"/>
  <c r="H12" i="9" a="1"/>
  <c r="H12" i="9" s="1"/>
  <c r="H13" i="9" a="1"/>
  <c r="H13" i="9" s="1"/>
  <c r="H14" i="9" a="1"/>
  <c r="H14" i="9" s="1"/>
  <c r="H15" i="9" a="1"/>
  <c r="H15" i="9" s="1"/>
  <c r="H16" i="9" a="1"/>
  <c r="H16" i="9" s="1"/>
  <c r="H17" i="9" a="1"/>
  <c r="H17" i="9" s="1"/>
  <c r="H18" i="9" a="1"/>
  <c r="H18" i="9" s="1"/>
  <c r="H19" i="9" a="1"/>
  <c r="H19" i="9" s="1"/>
  <c r="H2" i="9" a="1"/>
  <c r="H2" i="9" s="1"/>
  <c r="H20" i="9" l="1"/>
  <c r="W20" i="9"/>
  <c r="V20" i="9"/>
  <c r="U20" i="9"/>
  <c r="T20" i="9"/>
  <c r="S20" i="9"/>
  <c r="R20" i="9"/>
  <c r="X19" i="9"/>
  <c r="X18" i="9"/>
  <c r="O18" i="9"/>
  <c r="X17" i="9"/>
  <c r="X16" i="9"/>
  <c r="X15" i="9"/>
  <c r="X14" i="9"/>
  <c r="X13" i="9"/>
  <c r="X12" i="9"/>
  <c r="X11" i="9"/>
  <c r="X10" i="9"/>
  <c r="O10" i="9"/>
  <c r="X9" i="9"/>
  <c r="X8" i="9"/>
  <c r="X7" i="9"/>
  <c r="X6" i="9"/>
  <c r="O6" i="9"/>
  <c r="X5" i="9"/>
  <c r="X4" i="9"/>
  <c r="X3" i="9"/>
  <c r="X2" i="9"/>
  <c r="N20" i="9"/>
  <c r="M20" i="9"/>
  <c r="L20" i="9"/>
  <c r="K20" i="9"/>
  <c r="J20" i="9"/>
  <c r="I20" i="9"/>
  <c r="X20" i="9" l="1"/>
  <c r="O3" i="9"/>
  <c r="O7" i="9"/>
  <c r="O11" i="9"/>
  <c r="O15" i="9"/>
  <c r="O19" i="9"/>
  <c r="O14" i="9"/>
  <c r="O5" i="9"/>
  <c r="O9" i="9"/>
  <c r="O13" i="9"/>
  <c r="O17" i="9"/>
  <c r="O4" i="9"/>
  <c r="O8" i="9"/>
  <c r="O12" i="9"/>
  <c r="O16" i="9"/>
  <c r="X21" i="9"/>
  <c r="O21" i="9"/>
  <c r="O2" i="9"/>
  <c r="O20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628" authorId="0" shapeId="0" xr:uid="{16A8216D-5B36-4650-A470-7E13CBDF72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추가개설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삼성서류마감</t>
        </r>
        <r>
          <rPr>
            <sz val="9"/>
            <color indexed="81"/>
            <rFont val="Tahoma"/>
            <family val="2"/>
          </rPr>
          <t xml:space="preserve"> 9/3 </t>
        </r>
        <r>
          <rPr>
            <sz val="9"/>
            <color indexed="81"/>
            <rFont val="돋움"/>
            <family val="3"/>
            <charset val="129"/>
          </rPr>
          <t>반영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644" authorId="0" shapeId="0" xr:uid="{AF4537C6-5E9D-4D7E-B61A-BD410EDA3F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추가개설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삼성서류마감</t>
        </r>
        <r>
          <rPr>
            <sz val="9"/>
            <color indexed="81"/>
            <rFont val="Tahoma"/>
            <family val="2"/>
          </rPr>
          <t xml:space="preserve"> 9/3 </t>
        </r>
        <r>
          <rPr>
            <sz val="9"/>
            <color indexed="81"/>
            <rFont val="돋움"/>
            <family val="3"/>
            <charset val="129"/>
          </rPr>
          <t>반영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<sst xmlns="http://schemas.openxmlformats.org/spreadsheetml/2006/main" count="3533" uniqueCount="115">
  <si>
    <t>일자</t>
    <phoneticPr fontId="2" type="noConversion"/>
  </si>
  <si>
    <t>시간</t>
    <phoneticPr fontId="2" type="noConversion"/>
  </si>
  <si>
    <t>컨설턴트명</t>
    <phoneticPr fontId="2" type="noConversion"/>
  </si>
  <si>
    <t>이희영</t>
    <phoneticPr fontId="2" type="noConversion"/>
  </si>
  <si>
    <t>심영섭</t>
    <phoneticPr fontId="2" type="noConversion"/>
  </si>
  <si>
    <t>구분</t>
    <phoneticPr fontId="2" type="noConversion"/>
  </si>
  <si>
    <t>진로취업</t>
    <phoneticPr fontId="2" type="noConversion"/>
  </si>
  <si>
    <t>서류면접</t>
    <phoneticPr fontId="2" type="noConversion"/>
  </si>
  <si>
    <t>공기업</t>
    <phoneticPr fontId="2" type="noConversion"/>
  </si>
  <si>
    <t>범하나</t>
    <phoneticPr fontId="2" type="noConversion"/>
  </si>
  <si>
    <t>강 진</t>
    <phoneticPr fontId="2" type="noConversion"/>
  </si>
  <si>
    <t>김지현</t>
    <phoneticPr fontId="2" type="noConversion"/>
  </si>
  <si>
    <t>장신혜</t>
    <phoneticPr fontId="2" type="noConversion"/>
  </si>
  <si>
    <t>한 나</t>
    <phoneticPr fontId="2" type="noConversion"/>
  </si>
  <si>
    <t>외국계</t>
    <phoneticPr fontId="2" type="noConversion"/>
  </si>
  <si>
    <t>이상환</t>
    <phoneticPr fontId="2" type="noConversion"/>
  </si>
  <si>
    <t>이공계</t>
    <phoneticPr fontId="2" type="noConversion"/>
  </si>
  <si>
    <t>김민경</t>
    <phoneticPr fontId="2" type="noConversion"/>
  </si>
  <si>
    <t>김선화</t>
    <phoneticPr fontId="2" type="noConversion"/>
  </si>
  <si>
    <t>ZOOM</t>
    <phoneticPr fontId="2" type="noConversion"/>
  </si>
  <si>
    <t>대면</t>
    <phoneticPr fontId="2" type="noConversion"/>
  </si>
  <si>
    <t>방식</t>
    <phoneticPr fontId="2" type="noConversion"/>
  </si>
  <si>
    <t>성지우</t>
    <phoneticPr fontId="2" type="noConversion"/>
  </si>
  <si>
    <t>김나영</t>
    <phoneticPr fontId="2" type="noConversion"/>
  </si>
  <si>
    <t>정지선</t>
    <phoneticPr fontId="2" type="noConversion"/>
  </si>
  <si>
    <t>민현정</t>
    <phoneticPr fontId="2" type="noConversion"/>
  </si>
  <si>
    <t>-</t>
    <phoneticPr fontId="2" type="noConversion"/>
  </si>
  <si>
    <t>양우석</t>
    <phoneticPr fontId="2" type="noConversion"/>
  </si>
  <si>
    <t>임원면접</t>
    <phoneticPr fontId="2" type="noConversion"/>
  </si>
  <si>
    <t>신민이</t>
    <phoneticPr fontId="2" type="noConversion"/>
  </si>
  <si>
    <t>김세희</t>
    <phoneticPr fontId="2" type="noConversion"/>
  </si>
  <si>
    <t>지명선</t>
    <phoneticPr fontId="2" type="noConversion"/>
  </si>
  <si>
    <t>정지선</t>
  </si>
  <si>
    <t>합계</t>
    <phoneticPr fontId="2" type="noConversion"/>
  </si>
  <si>
    <t>강 진</t>
  </si>
  <si>
    <t>김민경</t>
  </si>
  <si>
    <t>김선화</t>
  </si>
  <si>
    <t>김지현</t>
  </si>
  <si>
    <t>범하나</t>
  </si>
  <si>
    <t>심영섭</t>
  </si>
  <si>
    <t>이상환</t>
  </si>
  <si>
    <t>이희영</t>
  </si>
  <si>
    <t>장신혜</t>
  </si>
  <si>
    <t>콘텐츠엔터</t>
    <phoneticPr fontId="2" type="noConversion"/>
  </si>
  <si>
    <t>03</t>
    <phoneticPr fontId="2" type="noConversion"/>
  </si>
  <si>
    <t>04</t>
  </si>
  <si>
    <t>05</t>
  </si>
  <si>
    <t>06</t>
  </si>
  <si>
    <t>07</t>
  </si>
  <si>
    <t>08</t>
  </si>
  <si>
    <t>김나영</t>
  </si>
  <si>
    <t>신민이</t>
  </si>
  <si>
    <t>김세희</t>
  </si>
  <si>
    <t>양우석</t>
  </si>
  <si>
    <t>지명선</t>
  </si>
  <si>
    <t>일정변동 컨설팅</t>
    <phoneticPr fontId="2" type="noConversion"/>
  </si>
  <si>
    <t>진로개발</t>
    <phoneticPr fontId="2" type="noConversion"/>
  </si>
  <si>
    <t>불참말고 취소 세션의 경우 더블체크요망</t>
    <phoneticPr fontId="2" type="noConversion"/>
  </si>
  <si>
    <t>온라인</t>
    <phoneticPr fontId="2" type="noConversion"/>
  </si>
  <si>
    <t>온라인</t>
    <phoneticPr fontId="2" type="noConversion"/>
  </si>
  <si>
    <t>서류면접</t>
  </si>
  <si>
    <t>진로개발</t>
  </si>
  <si>
    <t>이공계</t>
  </si>
  <si>
    <t>성지우</t>
  </si>
  <si>
    <t>공기업</t>
  </si>
  <si>
    <t>외국계</t>
  </si>
  <si>
    <t>콘텐츠엔터</t>
  </si>
  <si>
    <t>임원면접</t>
  </si>
  <si>
    <t>한 나</t>
  </si>
  <si>
    <t>장신혜</t>
    <phoneticPr fontId="2" type="noConversion"/>
  </si>
  <si>
    <t>서류면접</t>
    <phoneticPr fontId="2" type="noConversion"/>
  </si>
  <si>
    <t>심영섭</t>
    <phoneticPr fontId="2" type="noConversion"/>
  </si>
  <si>
    <t>김지현</t>
    <phoneticPr fontId="2" type="noConversion"/>
  </si>
  <si>
    <t>온라인</t>
    <phoneticPr fontId="2" type="noConversion"/>
  </si>
  <si>
    <t>대면</t>
    <phoneticPr fontId="2" type="noConversion"/>
  </si>
  <si>
    <t>취소</t>
    <phoneticPr fontId="2" type="noConversion"/>
  </si>
  <si>
    <t>이희영</t>
    <phoneticPr fontId="2" type="noConversion"/>
  </si>
  <si>
    <t>온라인</t>
    <phoneticPr fontId="2" type="noConversion"/>
  </si>
  <si>
    <t>서류면접</t>
    <phoneticPr fontId="2" type="noConversion"/>
  </si>
  <si>
    <t>온라인</t>
    <phoneticPr fontId="2" type="noConversion"/>
  </si>
  <si>
    <t>대면</t>
    <phoneticPr fontId="2" type="noConversion"/>
  </si>
  <si>
    <t>심영섭</t>
    <phoneticPr fontId="2" type="noConversion"/>
  </si>
  <si>
    <t>취소</t>
    <phoneticPr fontId="2" type="noConversion"/>
  </si>
  <si>
    <t>온라인</t>
    <phoneticPr fontId="2" type="noConversion"/>
  </si>
  <si>
    <t>서류면접</t>
    <phoneticPr fontId="2" type="noConversion"/>
  </si>
  <si>
    <t>취소</t>
    <phoneticPr fontId="2" type="noConversion"/>
  </si>
  <si>
    <t>진로개발</t>
    <phoneticPr fontId="2" type="noConversion"/>
  </si>
  <si>
    <t>온라인</t>
  </si>
  <si>
    <t>최종면접학생으로 추가개설</t>
    <phoneticPr fontId="2" type="noConversion"/>
  </si>
  <si>
    <t>김지현(취소)</t>
    <phoneticPr fontId="2" type="noConversion"/>
  </si>
  <si>
    <t>김민경(취소)</t>
    <phoneticPr fontId="2" type="noConversion"/>
  </si>
  <si>
    <t>정지선(취소)</t>
    <phoneticPr fontId="2" type="noConversion"/>
  </si>
  <si>
    <t>이희영(취소)</t>
    <phoneticPr fontId="2" type="noConversion"/>
  </si>
  <si>
    <t>장신혜(취소)</t>
    <phoneticPr fontId="2" type="noConversion"/>
  </si>
  <si>
    <t>보충 11/8</t>
    <phoneticPr fontId="2" type="noConversion"/>
  </si>
  <si>
    <t>보충 10/27</t>
    <phoneticPr fontId="2" type="noConversion"/>
  </si>
  <si>
    <t>보충 11/7</t>
    <phoneticPr fontId="2" type="noConversion"/>
  </si>
  <si>
    <t>(참고)당초</t>
    <phoneticPr fontId="2" type="noConversion"/>
  </si>
  <si>
    <t>09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</si>
  <si>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</si>
  <si>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</si>
  <si>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</si>
  <si>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02</t>
    <phoneticPr fontId="2" type="noConversion"/>
  </si>
  <si>
    <t>01</t>
    <phoneticPr fontId="2" type="noConversion"/>
  </si>
  <si>
    <t xml:space="preserve">월별 당초 예정 </t>
    <phoneticPr fontId="2" type="noConversion"/>
  </si>
  <si>
    <t>신민이(취소)</t>
    <phoneticPr fontId="2" type="noConversion"/>
  </si>
  <si>
    <t>보충 11/14</t>
    <phoneticPr fontId="2" type="noConversion"/>
  </si>
  <si>
    <t>지명선(취소)</t>
    <phoneticPr fontId="2" type="noConversion"/>
  </si>
  <si>
    <t xml:space="preserve">기말고사로 미개설 기간이지만 수요에따라 추가개설 </t>
    <phoneticPr fontId="2" type="noConversion"/>
  </si>
  <si>
    <t xml:space="preserve">보충 12/10 (진행됏는지 확인필요) </t>
    <phoneticPr fontId="2" type="noConversion"/>
  </si>
  <si>
    <t xml:space="preserve">변동된 이력 카운트 </t>
    <phoneticPr fontId="2" type="noConversion"/>
  </si>
  <si>
    <t>보충 12/2</t>
    <phoneticPr fontId="2" type="noConversion"/>
  </si>
  <si>
    <t>보충12/10</t>
    <phoneticPr fontId="2" type="noConversion"/>
  </si>
  <si>
    <t>웰컴세션 만들면서 진로개발 세션 수가 적어 변경함</t>
    <phoneticPr fontId="2" type="noConversion"/>
  </si>
  <si>
    <t>대학원생 신청 받아서 서류면접으로 유형을 변경함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</si>
</sst>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m&quot;월&quot;\ dd&quot;일&quot;\ aaaa"/>
    <numFmt numFmtId="177" formatCode="[$-F800]dddd\,\ mmmm\ dd\,\ yyyy"/>
  </numFmts>
  <fonts count="20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4" tint="-0.249977111117893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FF99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97E4FF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7" fillId="0" borderId="0">
      <alignment vertical="center"/>
    </xf>
    <xf numFmtId="0" fontId="8" fillId="6" borderId="7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2" borderId="3" xfId="1" applyFont="1" applyBorder="1" applyAlignment="1">
      <alignment horizontal="center" vertical="center"/>
    </xf>
    <xf numFmtId="176" fontId="3" fillId="2" borderId="3" xfId="1" applyNumberFormat="1" applyFont="1" applyBorder="1" applyAlignment="1">
      <alignment horizontal="center" vertical="center"/>
    </xf>
    <xf numFmtId="20" fontId="4" fillId="0" borderId="0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20" fontId="4" fillId="0" borderId="0" xfId="0" applyNumberFormat="1" applyFont="1" applyAlignment="1">
      <alignment horizontal="center" vertical="center"/>
    </xf>
    <xf numFmtId="49" fontId="3" fillId="2" borderId="3" xfId="1" applyNumberFormat="1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20" fontId="6" fillId="0" borderId="2" xfId="0" applyNumberFormat="1" applyFont="1" applyBorder="1" applyAlignment="1">
      <alignment horizontal="left" vertical="center"/>
    </xf>
    <xf numFmtId="0" fontId="3" fillId="2" borderId="6" xfId="1" applyFont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6" borderId="7" xfId="3" applyFont="1" applyAlignment="1">
      <alignment horizontal="center" vertical="center"/>
    </xf>
    <xf numFmtId="0" fontId="4" fillId="6" borderId="2" xfId="3" applyFont="1" applyBorder="1" applyAlignment="1">
      <alignment horizontal="center" vertical="center"/>
    </xf>
    <xf numFmtId="177" fontId="4" fillId="6" borderId="7" xfId="3" applyNumberFormat="1" applyFont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7" fontId="4" fillId="8" borderId="2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7" fontId="4" fillId="0" borderId="2" xfId="0" applyNumberFormat="1" applyFont="1" applyFill="1" applyBorder="1" applyAlignment="1">
      <alignment horizontal="center" vertical="center"/>
    </xf>
    <xf numFmtId="177" fontId="4" fillId="0" borderId="4" xfId="0" applyNumberFormat="1" applyFont="1" applyFill="1" applyBorder="1" applyAlignment="1">
      <alignment horizontal="center" vertical="center"/>
    </xf>
    <xf numFmtId="177" fontId="4" fillId="0" borderId="5" xfId="0" applyNumberFormat="1" applyFont="1" applyFill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20" fontId="9" fillId="0" borderId="2" xfId="0" applyNumberFormat="1" applyFont="1" applyFill="1" applyBorder="1" applyAlignment="1">
      <alignment horizontal="center" vertical="center" wrapText="1"/>
    </xf>
    <xf numFmtId="20" fontId="9" fillId="0" borderId="4" xfId="0" applyNumberFormat="1" applyFont="1" applyFill="1" applyBorder="1" applyAlignment="1">
      <alignment horizontal="center" vertical="center" wrapText="1"/>
    </xf>
    <xf numFmtId="20" fontId="9" fillId="0" borderId="2" xfId="0" applyNumberFormat="1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/>
    </xf>
    <xf numFmtId="177" fontId="16" fillId="0" borderId="2" xfId="0" applyNumberFormat="1" applyFont="1" applyFill="1" applyBorder="1" applyAlignment="1">
      <alignment horizontal="center" vertical="center"/>
    </xf>
    <xf numFmtId="0" fontId="12" fillId="9" borderId="0" xfId="4" applyAlignment="1">
      <alignment horizontal="center" vertical="center"/>
    </xf>
    <xf numFmtId="0" fontId="9" fillId="10" borderId="4" xfId="0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20" fontId="9" fillId="3" borderId="2" xfId="0" applyNumberFormat="1" applyFont="1" applyFill="1" applyBorder="1" applyAlignment="1">
      <alignment horizontal="center" vertical="center" wrapText="1"/>
    </xf>
    <xf numFmtId="0" fontId="9" fillId="15" borderId="4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177" fontId="4" fillId="7" borderId="2" xfId="0" applyNumberFormat="1" applyFont="1" applyFill="1" applyBorder="1" applyAlignment="1">
      <alignment horizontal="center" vertical="center"/>
    </xf>
    <xf numFmtId="20" fontId="9" fillId="7" borderId="2" xfId="0" applyNumberFormat="1" applyFont="1" applyFill="1" applyBorder="1" applyAlignment="1">
      <alignment horizontal="center" vertical="center" wrapText="1"/>
    </xf>
    <xf numFmtId="0" fontId="9" fillId="10" borderId="7" xfId="3" applyFont="1" applyFill="1" applyAlignment="1">
      <alignment horizontal="center" vertical="center" wrapText="1"/>
    </xf>
    <xf numFmtId="177" fontId="16" fillId="3" borderId="2" xfId="0" applyNumberFormat="1" applyFont="1" applyFill="1" applyBorder="1" applyAlignment="1">
      <alignment horizontal="center" vertical="center"/>
    </xf>
    <xf numFmtId="20" fontId="17" fillId="17" borderId="2" xfId="5" applyNumberFormat="1" applyBorder="1" applyAlignment="1">
      <alignment horizontal="center" vertical="center" wrapText="1"/>
    </xf>
    <xf numFmtId="0" fontId="9" fillId="1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shrinkToFit="1"/>
    </xf>
    <xf numFmtId="0" fontId="4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177" fontId="4" fillId="4" borderId="2" xfId="0" applyNumberFormat="1" applyFont="1" applyFill="1" applyBorder="1" applyAlignment="1">
      <alignment horizontal="center" vertical="center"/>
    </xf>
    <xf numFmtId="20" fontId="9" fillId="4" borderId="2" xfId="0" applyNumberFormat="1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18" fillId="22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0" fillId="23" borderId="0" xfId="0" applyFill="1">
      <alignment vertical="center"/>
    </xf>
    <xf numFmtId="0" fontId="6" fillId="2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177" fontId="4" fillId="4" borderId="4" xfId="0" applyNumberFormat="1" applyFont="1" applyFill="1" applyBorder="1" applyAlignment="1">
      <alignment horizontal="center" vertical="center"/>
    </xf>
    <xf numFmtId="20" fontId="9" fillId="4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20" fontId="17" fillId="17" borderId="5" xfId="5" applyNumberFormat="1" applyBorder="1" applyAlignment="1">
      <alignment horizontal="center" vertical="center" wrapText="1"/>
    </xf>
    <xf numFmtId="177" fontId="3" fillId="2" borderId="3" xfId="1" applyNumberFormat="1" applyFont="1" applyBorder="1" applyAlignment="1">
      <alignment horizontal="center" vertical="center"/>
    </xf>
    <xf numFmtId="177" fontId="4" fillId="0" borderId="0" xfId="0" applyNumberFormat="1" applyFont="1" applyAlignment="1">
      <alignment horizontal="left" vertical="center"/>
    </xf>
  </cellXfs>
  <cellStyles count="6">
    <cellStyle name="나쁨" xfId="5" builtinId="27"/>
    <cellStyle name="메모" xfId="3" builtinId="10"/>
    <cellStyle name="셀 확인" xfId="1" builtinId="23"/>
    <cellStyle name="좋음" xfId="4" builtinId="26"/>
    <cellStyle name="표준" xfId="0" builtinId="0"/>
    <cellStyle name="표준 2 2" xfId="2" xr:uid="{00000000-0005-0000-0000-000003000000}"/>
  </cellStyles>
  <dxfs count="0"/>
  <tableStyles count="0" defaultTableStyle="TableStyleMedium2" defaultPivotStyle="PivotStyleLight16"/>
  <colors>
    <mruColors>
      <color rgb="FF75DB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634"/>
  <sheetViews>
    <sheetView workbookViewId="0">
      <pane ySplit="1" topLeftCell="A8" activePane="bottomLeft" state="frozen"/>
      <selection activeCell="M19" sqref="M19"/>
      <selection pane="bottomLeft" activeCell="D10" sqref="D10"/>
    </sheetView>
  </sheetViews>
  <sheetFormatPr defaultColWidth="9" defaultRowHeight="16.5" x14ac:dyDescent="0.3"/>
  <cols>
    <col min="1" max="1" width="11.25" style="1" bestFit="1" customWidth="1"/>
    <col min="2" max="3" width="9" style="1"/>
    <col min="4" max="4" width="21.25" style="81" bestFit="1" customWidth="1"/>
    <col min="5" max="6" width="9" style="1"/>
    <col min="7" max="7" width="8.75"/>
    <col min="8" max="12" width="9" customWidth="1"/>
    <col min="13" max="13" width="8.75"/>
    <col min="14" max="14" width="9" customWidth="1"/>
    <col min="15" max="15" width="4.75" bestFit="1" customWidth="1"/>
    <col min="16" max="17" width="8.75"/>
    <col min="18" max="23" width="4.75" customWidth="1"/>
    <col min="24" max="24" width="4.75" bestFit="1" customWidth="1"/>
    <col min="25" max="25" width="9" style="1"/>
    <col min="26" max="26" width="9.75" style="1" customWidth="1"/>
    <col min="27" max="16384" width="9" style="1"/>
  </cols>
  <sheetData>
    <row r="1" spans="1:27" ht="14.25" thickTop="1" x14ac:dyDescent="0.3">
      <c r="A1" s="3" t="s">
        <v>2</v>
      </c>
      <c r="B1" s="3" t="s">
        <v>5</v>
      </c>
      <c r="C1" s="3" t="s">
        <v>21</v>
      </c>
      <c r="D1" s="80" t="s">
        <v>0</v>
      </c>
      <c r="E1" s="3" t="s">
        <v>1</v>
      </c>
      <c r="G1" s="3" t="s">
        <v>2</v>
      </c>
      <c r="H1" s="3" t="s">
        <v>6</v>
      </c>
      <c r="I1" s="3" t="s">
        <v>7</v>
      </c>
      <c r="J1" s="3" t="s">
        <v>8</v>
      </c>
      <c r="K1" s="3" t="s">
        <v>14</v>
      </c>
      <c r="L1" s="3" t="s">
        <v>16</v>
      </c>
      <c r="M1" s="3" t="s">
        <v>43</v>
      </c>
      <c r="N1" s="3" t="s">
        <v>28</v>
      </c>
      <c r="O1" s="3" t="s">
        <v>33</v>
      </c>
      <c r="P1" s="10"/>
      <c r="Q1" s="3" t="s">
        <v>2</v>
      </c>
      <c r="R1" s="11" t="s">
        <v>44</v>
      </c>
      <c r="S1" s="11" t="s">
        <v>45</v>
      </c>
      <c r="T1" s="11" t="s">
        <v>46</v>
      </c>
      <c r="U1" s="11" t="s">
        <v>47</v>
      </c>
      <c r="V1" s="11" t="s">
        <v>48</v>
      </c>
      <c r="W1" s="11" t="s">
        <v>49</v>
      </c>
      <c r="X1" s="3" t="s">
        <v>33</v>
      </c>
    </row>
    <row r="2" spans="1:27" ht="13.5" customHeight="1" x14ac:dyDescent="0.3">
      <c r="A2" s="6" t="s">
        <v>4</v>
      </c>
      <c r="B2" s="6" t="s">
        <v>8</v>
      </c>
      <c r="C2" s="6" t="s">
        <v>20</v>
      </c>
      <c r="D2" s="8">
        <v>45720</v>
      </c>
      <c r="E2" s="7">
        <v>0.45833333333333331</v>
      </c>
      <c r="F2" s="5"/>
      <c r="G2" s="12" t="s">
        <v>34</v>
      </c>
      <c r="H2" s="6" cm="1">
        <f t="array" ref="H2">SUMPRODUCT(('2025-상반기'!$A:$A=$G2)*('2025-상반기'!$B:$B=H$1))</f>
        <v>0</v>
      </c>
      <c r="I2" s="6" cm="1">
        <f t="array" ref="I2">SUMPRODUCT(('2025-상반기'!$A:$A=$G2)*('2025-상반기'!$B:$B=I$1))</f>
        <v>56</v>
      </c>
      <c r="J2" s="6" cm="1">
        <f t="array" ref="J2">SUMPRODUCT(('2025-상반기'!$A:$A=$G2)*('2025-상반기'!$B:$B=J$1))</f>
        <v>0</v>
      </c>
      <c r="K2" s="6" cm="1">
        <f t="array" ref="K2">SUMPRODUCT(('2025-상반기'!$A:$A=$G2)*('2025-상반기'!$B:$B=K$1))</f>
        <v>0</v>
      </c>
      <c r="L2" s="6" cm="1">
        <f t="array" ref="L2">SUMPRODUCT(('2025-상반기'!$A:$A=$G2)*('2025-상반기'!$B:$B=L$1))</f>
        <v>0</v>
      </c>
      <c r="M2" s="6" cm="1">
        <f t="array" ref="M2">SUMPRODUCT(('2025-상반기'!$A:$A=$G2)*('2025-상반기'!$B:$B=M$1))</f>
        <v>0</v>
      </c>
      <c r="N2" s="6" cm="1">
        <f t="array" ref="N2">SUMPRODUCT(('2025-상반기'!$A:$A=$G2)*('2025-상반기'!$B:$B=N$1))</f>
        <v>0</v>
      </c>
      <c r="O2" s="13">
        <f>SUM(H2:N2)</f>
        <v>56</v>
      </c>
      <c r="P2" s="7"/>
      <c r="Q2" s="12" t="s">
        <v>34</v>
      </c>
      <c r="R2" s="6">
        <v>25</v>
      </c>
      <c r="S2" s="6">
        <v>6</v>
      </c>
      <c r="T2" s="6">
        <v>11</v>
      </c>
      <c r="U2" s="6">
        <v>6</v>
      </c>
      <c r="V2" s="6">
        <v>4</v>
      </c>
      <c r="W2" s="6">
        <v>4</v>
      </c>
      <c r="X2" s="13">
        <f t="shared" ref="X2:X19" si="0">SUM(R2:W2)</f>
        <v>56</v>
      </c>
      <c r="Z2" s="21"/>
      <c r="AA2" s="6" t="s">
        <v>55</v>
      </c>
    </row>
    <row r="3" spans="1:27" ht="13.5" customHeight="1" x14ac:dyDescent="0.3">
      <c r="A3" s="6" t="s">
        <v>4</v>
      </c>
      <c r="B3" s="6" t="s">
        <v>7</v>
      </c>
      <c r="C3" s="6" t="s">
        <v>20</v>
      </c>
      <c r="D3" s="8">
        <v>45720</v>
      </c>
      <c r="E3" s="7">
        <v>0.5</v>
      </c>
      <c r="F3" s="5"/>
      <c r="G3" s="12" t="s">
        <v>23</v>
      </c>
      <c r="H3" s="6" cm="1">
        <f t="array" ref="H3">SUMPRODUCT(('2025-상반기'!$A:$A=$G3)*('2025-상반기'!$B:$B=H$1))</f>
        <v>51</v>
      </c>
      <c r="I3" s="6" cm="1">
        <f t="array" ref="I3">SUMPRODUCT(('2025-상반기'!$A:$A=$G3)*('2025-상반기'!$B:$B=I$1))</f>
        <v>0</v>
      </c>
      <c r="J3" s="6" cm="1">
        <f t="array" ref="J3">SUMPRODUCT(('2025-상반기'!$A:$A=$G3)*('2025-상반기'!$B:$B=J$1))</f>
        <v>0</v>
      </c>
      <c r="K3" s="6" cm="1">
        <f t="array" ref="K3">SUMPRODUCT(('2025-상반기'!$A:$A=$G3)*('2025-상반기'!$B:$B=K$1))</f>
        <v>0</v>
      </c>
      <c r="L3" s="6" cm="1">
        <f t="array" ref="L3">SUMPRODUCT(('2025-상반기'!$A:$A=$G3)*('2025-상반기'!$B:$B=L$1))</f>
        <v>0</v>
      </c>
      <c r="M3" s="6" cm="1">
        <f t="array" ref="M3">SUMPRODUCT(('2025-상반기'!$A:$A=$G3)*('2025-상반기'!$B:$B=M$1))</f>
        <v>0</v>
      </c>
      <c r="N3" s="6" cm="1">
        <f t="array" ref="N3">SUMPRODUCT(('2025-상반기'!$A:$A=$G3)*('2025-상반기'!$B:$B=N$1))</f>
        <v>0</v>
      </c>
      <c r="O3" s="13">
        <f t="shared" ref="O3:O19" si="1">SUM(H3:N3)</f>
        <v>51</v>
      </c>
      <c r="P3" s="6"/>
      <c r="Q3" s="12" t="s">
        <v>23</v>
      </c>
      <c r="R3" s="6">
        <v>14</v>
      </c>
      <c r="S3" s="6">
        <v>9</v>
      </c>
      <c r="T3" s="6">
        <v>12</v>
      </c>
      <c r="U3" s="6">
        <v>6</v>
      </c>
      <c r="V3" s="6">
        <v>6</v>
      </c>
      <c r="W3" s="6">
        <v>4</v>
      </c>
      <c r="X3" s="13">
        <f t="shared" si="0"/>
        <v>51</v>
      </c>
      <c r="Z3" s="26" t="s">
        <v>57</v>
      </c>
    </row>
    <row r="4" spans="1:27" ht="13.5" customHeight="1" x14ac:dyDescent="0.3">
      <c r="A4" s="6" t="s">
        <v>4</v>
      </c>
      <c r="B4" s="6" t="s">
        <v>7</v>
      </c>
      <c r="C4" s="6" t="s">
        <v>20</v>
      </c>
      <c r="D4" s="8">
        <v>45720</v>
      </c>
      <c r="E4" s="7">
        <v>0.58333333333333337</v>
      </c>
      <c r="F4" s="5"/>
      <c r="G4" s="14" t="s">
        <v>35</v>
      </c>
      <c r="H4" s="6" cm="1">
        <f t="array" ref="H4">SUMPRODUCT(('2025-상반기'!$A:$A=$G4)*('2025-상반기'!$B:$B=H$1))</f>
        <v>7</v>
      </c>
      <c r="I4" s="6" cm="1">
        <f t="array" ref="I4">SUMPRODUCT(('2025-상반기'!$A:$A=$G4)*('2025-상반기'!$B:$B=I$1))</f>
        <v>23</v>
      </c>
      <c r="J4" s="6" cm="1">
        <f t="array" ref="J4">SUMPRODUCT(('2025-상반기'!$A:$A=$G4)*('2025-상반기'!$B:$B=J$1))</f>
        <v>0</v>
      </c>
      <c r="K4" s="6" cm="1">
        <f t="array" ref="K4">SUMPRODUCT(('2025-상반기'!$A:$A=$G4)*('2025-상반기'!$B:$B=K$1))</f>
        <v>0</v>
      </c>
      <c r="L4" s="6" cm="1">
        <f t="array" ref="L4">SUMPRODUCT(('2025-상반기'!$A:$A=$G4)*('2025-상반기'!$B:$B=L$1))</f>
        <v>0</v>
      </c>
      <c r="M4" s="6" cm="1">
        <f t="array" ref="M4">SUMPRODUCT(('2025-상반기'!$A:$A=$G4)*('2025-상반기'!$B:$B=M$1))</f>
        <v>0</v>
      </c>
      <c r="N4" s="6" cm="1">
        <f t="array" ref="N4">SUMPRODUCT(('2025-상반기'!$A:$A=$G4)*('2025-상반기'!$B:$B=N$1))</f>
        <v>0</v>
      </c>
      <c r="O4" s="13">
        <f t="shared" si="1"/>
        <v>30</v>
      </c>
      <c r="P4" s="7"/>
      <c r="Q4" s="14" t="s">
        <v>35</v>
      </c>
      <c r="R4" s="6">
        <v>8</v>
      </c>
      <c r="S4" s="6">
        <v>8</v>
      </c>
      <c r="T4" s="6">
        <v>6</v>
      </c>
      <c r="U4" s="6">
        <v>4</v>
      </c>
      <c r="V4" s="6">
        <v>4</v>
      </c>
      <c r="W4" s="6">
        <v>0</v>
      </c>
      <c r="X4" s="13">
        <f t="shared" si="0"/>
        <v>30</v>
      </c>
    </row>
    <row r="5" spans="1:27" ht="13.5" customHeight="1" x14ac:dyDescent="0.3">
      <c r="A5" s="6" t="s">
        <v>4</v>
      </c>
      <c r="B5" s="6" t="s">
        <v>7</v>
      </c>
      <c r="C5" s="6" t="s">
        <v>20</v>
      </c>
      <c r="D5" s="8">
        <v>45720</v>
      </c>
      <c r="E5" s="7">
        <v>0.625</v>
      </c>
      <c r="F5" s="5"/>
      <c r="G5" s="14" t="s">
        <v>36</v>
      </c>
      <c r="H5" s="6" cm="1">
        <f t="array" ref="H5">SUMPRODUCT(('2025-상반기'!$A:$A=$G5)*('2025-상반기'!$B:$B=H$1))</f>
        <v>0</v>
      </c>
      <c r="I5" s="6" cm="1">
        <f t="array" ref="I5">SUMPRODUCT(('2025-상반기'!$A:$A=$G5)*('2025-상반기'!$B:$B=I$1))</f>
        <v>32</v>
      </c>
      <c r="J5" s="6" cm="1">
        <f t="array" ref="J5">SUMPRODUCT(('2025-상반기'!$A:$A=$G5)*('2025-상반기'!$B:$B=J$1))</f>
        <v>6</v>
      </c>
      <c r="K5" s="6" cm="1">
        <f t="array" ref="K5">SUMPRODUCT(('2025-상반기'!$A:$A=$G5)*('2025-상반기'!$B:$B=K$1))</f>
        <v>0</v>
      </c>
      <c r="L5" s="6" cm="1">
        <f t="array" ref="L5">SUMPRODUCT(('2025-상반기'!$A:$A=$G5)*('2025-상반기'!$B:$B=L$1))</f>
        <v>0</v>
      </c>
      <c r="M5" s="6" cm="1">
        <f t="array" ref="M5">SUMPRODUCT(('2025-상반기'!$A:$A=$G5)*('2025-상반기'!$B:$B=M$1))</f>
        <v>0</v>
      </c>
      <c r="N5" s="6" cm="1">
        <f t="array" ref="N5">SUMPRODUCT(('2025-상반기'!$A:$A=$G5)*('2025-상반기'!$B:$B=N$1))</f>
        <v>0</v>
      </c>
      <c r="O5" s="13">
        <f t="shared" si="1"/>
        <v>38</v>
      </c>
      <c r="P5" s="15"/>
      <c r="Q5" s="14" t="s">
        <v>36</v>
      </c>
      <c r="R5" s="6">
        <v>10</v>
      </c>
      <c r="S5" s="6">
        <v>6</v>
      </c>
      <c r="T5" s="6">
        <v>8</v>
      </c>
      <c r="U5" s="6">
        <v>4</v>
      </c>
      <c r="V5" s="6">
        <v>4</v>
      </c>
      <c r="W5" s="6">
        <v>4</v>
      </c>
      <c r="X5" s="13">
        <f t="shared" si="0"/>
        <v>36</v>
      </c>
    </row>
    <row r="6" spans="1:27" ht="13.5" customHeight="1" x14ac:dyDescent="0.3">
      <c r="A6" s="6" t="s">
        <v>17</v>
      </c>
      <c r="B6" s="6" t="s">
        <v>7</v>
      </c>
      <c r="C6" s="6" t="s">
        <v>19</v>
      </c>
      <c r="D6" s="8">
        <v>45721</v>
      </c>
      <c r="E6" s="7">
        <v>0.41666666666666669</v>
      </c>
      <c r="G6" s="14" t="s">
        <v>30</v>
      </c>
      <c r="H6" s="6" cm="1">
        <f t="array" ref="H6">SUMPRODUCT(('2025-상반기'!$A:$A=$G6)*('2025-상반기'!$B:$B=H$1))</f>
        <v>0</v>
      </c>
      <c r="I6" s="6" cm="1">
        <f t="array" ref="I6">SUMPRODUCT(('2025-상반기'!$A:$A=$G6)*('2025-상반기'!$B:$B=I$1))</f>
        <v>1</v>
      </c>
      <c r="J6" s="6" cm="1">
        <f t="array" ref="J6">SUMPRODUCT(('2025-상반기'!$A:$A=$G6)*('2025-상반기'!$B:$B=J$1))</f>
        <v>0</v>
      </c>
      <c r="K6" s="6" cm="1">
        <f t="array" ref="K6">SUMPRODUCT(('2025-상반기'!$A:$A=$G6)*('2025-상반기'!$B:$B=K$1))</f>
        <v>0</v>
      </c>
      <c r="L6" s="6" cm="1">
        <f t="array" ref="L6">SUMPRODUCT(('2025-상반기'!$A:$A=$G6)*('2025-상반기'!$B:$B=L$1))</f>
        <v>17</v>
      </c>
      <c r="M6" s="6" cm="1">
        <f t="array" ref="M6">SUMPRODUCT(('2025-상반기'!$A:$A=$G6)*('2025-상반기'!$B:$B=M$1))</f>
        <v>0</v>
      </c>
      <c r="N6" s="6" cm="1">
        <f t="array" ref="N6">SUMPRODUCT(('2025-상반기'!$A:$A=$G6)*('2025-상반기'!$B:$B=N$1))</f>
        <v>0</v>
      </c>
      <c r="O6" s="13">
        <f t="shared" si="1"/>
        <v>18</v>
      </c>
      <c r="P6" s="7"/>
      <c r="Q6" s="14" t="s">
        <v>30</v>
      </c>
      <c r="R6" s="6">
        <v>8</v>
      </c>
      <c r="S6" s="6">
        <v>6</v>
      </c>
      <c r="T6" s="6">
        <v>4</v>
      </c>
      <c r="U6" s="6">
        <v>0</v>
      </c>
      <c r="V6" s="6">
        <v>0</v>
      </c>
      <c r="W6" s="6">
        <v>0</v>
      </c>
      <c r="X6" s="13">
        <f t="shared" si="0"/>
        <v>18</v>
      </c>
    </row>
    <row r="7" spans="1:27" ht="13.5" customHeight="1" x14ac:dyDescent="0.3">
      <c r="A7" s="6" t="s">
        <v>17</v>
      </c>
      <c r="B7" s="6" t="s">
        <v>7</v>
      </c>
      <c r="C7" s="6" t="s">
        <v>19</v>
      </c>
      <c r="D7" s="8">
        <v>45721</v>
      </c>
      <c r="E7" s="7">
        <v>0.45833333333333331</v>
      </c>
      <c r="G7" s="14" t="s">
        <v>37</v>
      </c>
      <c r="H7" s="6" cm="1">
        <f t="array" ref="H7">SUMPRODUCT(('2025-상반기'!$A:$A=$G7)*('2025-상반기'!$B:$B=H$1))</f>
        <v>0</v>
      </c>
      <c r="I7" s="6" cm="1">
        <f t="array" ref="I7">SUMPRODUCT(('2025-상반기'!$A:$A=$G7)*('2025-상반기'!$B:$B=I$1))</f>
        <v>38</v>
      </c>
      <c r="J7" s="6" cm="1">
        <f t="array" ref="J7">SUMPRODUCT(('2025-상반기'!$A:$A=$G7)*('2025-상반기'!$B:$B=J$1))</f>
        <v>0</v>
      </c>
      <c r="K7" s="6" cm="1">
        <f t="array" ref="K7">SUMPRODUCT(('2025-상반기'!$A:$A=$G7)*('2025-상반기'!$B:$B=K$1))</f>
        <v>0</v>
      </c>
      <c r="L7" s="6" cm="1">
        <f t="array" ref="L7">SUMPRODUCT(('2025-상반기'!$A:$A=$G7)*('2025-상반기'!$B:$B=L$1))</f>
        <v>0</v>
      </c>
      <c r="M7" s="6" cm="1">
        <f t="array" ref="M7">SUMPRODUCT(('2025-상반기'!$A:$A=$G7)*('2025-상반기'!$B:$B=M$1))</f>
        <v>0</v>
      </c>
      <c r="N7" s="6" cm="1">
        <f t="array" ref="N7">SUMPRODUCT(('2025-상반기'!$A:$A=$G7)*('2025-상반기'!$B:$B=N$1))</f>
        <v>0</v>
      </c>
      <c r="O7" s="13">
        <f t="shared" si="1"/>
        <v>38</v>
      </c>
      <c r="P7" s="16"/>
      <c r="Q7" s="14" t="s">
        <v>37</v>
      </c>
      <c r="R7" s="6">
        <v>11</v>
      </c>
      <c r="S7" s="6">
        <v>6</v>
      </c>
      <c r="T7" s="6">
        <v>7</v>
      </c>
      <c r="U7" s="6">
        <v>6</v>
      </c>
      <c r="V7" s="6">
        <v>4</v>
      </c>
      <c r="W7" s="6">
        <v>4</v>
      </c>
      <c r="X7" s="13">
        <f t="shared" si="0"/>
        <v>38</v>
      </c>
    </row>
    <row r="8" spans="1:27" ht="13.5" customHeight="1" x14ac:dyDescent="0.3">
      <c r="A8" s="6" t="s">
        <v>13</v>
      </c>
      <c r="B8" s="6" t="s">
        <v>7</v>
      </c>
      <c r="C8" s="6" t="s">
        <v>19</v>
      </c>
      <c r="D8" s="8">
        <v>45721</v>
      </c>
      <c r="E8" s="7">
        <v>0.41666666666666669</v>
      </c>
      <c r="G8" s="14" t="s">
        <v>38</v>
      </c>
      <c r="H8" s="6" cm="1">
        <f t="array" ref="H8">SUMPRODUCT(('2025-상반기'!$A:$A=$G8)*('2025-상반기'!$B:$B=H$1))</f>
        <v>10</v>
      </c>
      <c r="I8" s="6" cm="1">
        <f t="array" ref="I8">SUMPRODUCT(('2025-상반기'!$A:$A=$G8)*('2025-상반기'!$B:$B=I$1))</f>
        <v>42</v>
      </c>
      <c r="J8" s="6" cm="1">
        <f t="array" ref="J8">SUMPRODUCT(('2025-상반기'!$A:$A=$G8)*('2025-상반기'!$B:$B=J$1))</f>
        <v>0</v>
      </c>
      <c r="K8" s="6" cm="1">
        <f t="array" ref="K8">SUMPRODUCT(('2025-상반기'!$A:$A=$G8)*('2025-상반기'!$B:$B=K$1))</f>
        <v>0</v>
      </c>
      <c r="L8" s="6" cm="1">
        <f t="array" ref="L8">SUMPRODUCT(('2025-상반기'!$A:$A=$G8)*('2025-상반기'!$B:$B=L$1))</f>
        <v>0</v>
      </c>
      <c r="M8" s="6" cm="1">
        <f t="array" ref="M8">SUMPRODUCT(('2025-상반기'!$A:$A=$G8)*('2025-상반기'!$B:$B=M$1))</f>
        <v>0</v>
      </c>
      <c r="N8" s="6" cm="1">
        <f t="array" ref="N8">SUMPRODUCT(('2025-상반기'!$A:$A=$G8)*('2025-상반기'!$B:$B=N$1))</f>
        <v>0</v>
      </c>
      <c r="O8" s="13">
        <f t="shared" si="1"/>
        <v>52</v>
      </c>
      <c r="P8" s="7"/>
      <c r="Q8" s="14" t="s">
        <v>38</v>
      </c>
      <c r="R8" s="6">
        <v>17</v>
      </c>
      <c r="S8" s="6">
        <v>9</v>
      </c>
      <c r="T8" s="6">
        <v>12</v>
      </c>
      <c r="U8" s="6">
        <v>4</v>
      </c>
      <c r="V8" s="6">
        <v>4</v>
      </c>
      <c r="W8" s="6">
        <v>4</v>
      </c>
      <c r="X8" s="13">
        <f t="shared" si="0"/>
        <v>50</v>
      </c>
    </row>
    <row r="9" spans="1:27" ht="13.5" customHeight="1" x14ac:dyDescent="0.3">
      <c r="A9" s="6" t="s">
        <v>13</v>
      </c>
      <c r="B9" s="6" t="s">
        <v>7</v>
      </c>
      <c r="C9" s="6" t="s">
        <v>19</v>
      </c>
      <c r="D9" s="8">
        <v>45721</v>
      </c>
      <c r="E9" s="7">
        <v>0.45833333333333331</v>
      </c>
      <c r="G9" s="14" t="s">
        <v>22</v>
      </c>
      <c r="H9" s="6" cm="1">
        <f t="array" ref="H9">SUMPRODUCT(('2025-상반기'!$A:$A=$G9)*('2025-상반기'!$B:$B=H$1))</f>
        <v>0</v>
      </c>
      <c r="I9" s="6" cm="1">
        <f t="array" ref="I9">SUMPRODUCT(('2025-상반기'!$A:$A=$G9)*('2025-상반기'!$B:$B=I$1))</f>
        <v>0</v>
      </c>
      <c r="J9" s="6" cm="1">
        <f t="array" ref="J9">SUMPRODUCT(('2025-상반기'!$A:$A=$G9)*('2025-상반기'!$B:$B=J$1))</f>
        <v>0</v>
      </c>
      <c r="K9" s="6" cm="1">
        <f t="array" ref="K9">SUMPRODUCT(('2025-상반기'!$A:$A=$G9)*('2025-상반기'!$B:$B=K$1))</f>
        <v>13</v>
      </c>
      <c r="L9" s="6" cm="1">
        <f t="array" ref="L9">SUMPRODUCT(('2025-상반기'!$A:$A=$G9)*('2025-상반기'!$B:$B=L$1))</f>
        <v>0</v>
      </c>
      <c r="M9" s="6" cm="1">
        <f t="array" ref="M9">SUMPRODUCT(('2025-상반기'!$A:$A=$G9)*('2025-상반기'!$B:$B=M$1))</f>
        <v>0</v>
      </c>
      <c r="N9" s="6" cm="1">
        <f t="array" ref="N9">SUMPRODUCT(('2025-상반기'!$A:$A=$G9)*('2025-상반기'!$B:$B=N$1))</f>
        <v>0</v>
      </c>
      <c r="O9" s="13">
        <f t="shared" si="1"/>
        <v>13</v>
      </c>
      <c r="P9" s="7"/>
      <c r="Q9" s="14" t="s">
        <v>22</v>
      </c>
      <c r="R9" s="6">
        <v>5</v>
      </c>
      <c r="S9" s="6">
        <v>2</v>
      </c>
      <c r="T9" s="6">
        <v>4</v>
      </c>
      <c r="U9" s="6">
        <v>2</v>
      </c>
      <c r="V9" s="6">
        <v>0</v>
      </c>
      <c r="W9" s="6">
        <v>0</v>
      </c>
      <c r="X9" s="13">
        <f t="shared" si="0"/>
        <v>13</v>
      </c>
    </row>
    <row r="10" spans="1:27" ht="13.5" customHeight="1" x14ac:dyDescent="0.3">
      <c r="A10" s="6" t="s">
        <v>18</v>
      </c>
      <c r="B10" s="6" t="s">
        <v>8</v>
      </c>
      <c r="C10" s="6" t="s">
        <v>19</v>
      </c>
      <c r="D10" s="8">
        <v>45721</v>
      </c>
      <c r="E10" s="7">
        <v>0.4375</v>
      </c>
      <c r="F10" s="5"/>
      <c r="G10" s="14" t="s">
        <v>29</v>
      </c>
      <c r="H10" s="6" cm="1">
        <f t="array" ref="H10">SUMPRODUCT(('2025-상반기'!$A:$A=$G10)*('2025-상반기'!$B:$B=H$1))</f>
        <v>32</v>
      </c>
      <c r="I10" s="6" cm="1">
        <f t="array" ref="I10">SUMPRODUCT(('2025-상반기'!$A:$A=$G10)*('2025-상반기'!$B:$B=I$1))</f>
        <v>1</v>
      </c>
      <c r="J10" s="6" cm="1">
        <f t="array" ref="J10">SUMPRODUCT(('2025-상반기'!$A:$A=$G10)*('2025-상반기'!$B:$B=J$1))</f>
        <v>0</v>
      </c>
      <c r="K10" s="6" cm="1">
        <f t="array" ref="K10">SUMPRODUCT(('2025-상반기'!$A:$A=$G10)*('2025-상반기'!$B:$B=K$1))</f>
        <v>0</v>
      </c>
      <c r="L10" s="6" cm="1">
        <f t="array" ref="L10">SUMPRODUCT(('2025-상반기'!$A:$A=$G10)*('2025-상반기'!$B:$B=L$1))</f>
        <v>0</v>
      </c>
      <c r="M10" s="6" cm="1">
        <f t="array" ref="M10">SUMPRODUCT(('2025-상반기'!$A:$A=$G10)*('2025-상반기'!$B:$B=M$1))</f>
        <v>0</v>
      </c>
      <c r="N10" s="6" cm="1">
        <f t="array" ref="N10">SUMPRODUCT(('2025-상반기'!$A:$A=$G10)*('2025-상반기'!$B:$B=N$1))</f>
        <v>0</v>
      </c>
      <c r="O10" s="13">
        <f t="shared" si="1"/>
        <v>33</v>
      </c>
      <c r="P10" s="7"/>
      <c r="Q10" s="14" t="s">
        <v>29</v>
      </c>
      <c r="R10" s="6">
        <v>9</v>
      </c>
      <c r="S10" s="6">
        <v>6</v>
      </c>
      <c r="T10" s="6">
        <v>6</v>
      </c>
      <c r="U10" s="6">
        <v>6</v>
      </c>
      <c r="V10" s="6">
        <v>2</v>
      </c>
      <c r="W10" s="6">
        <v>4</v>
      </c>
      <c r="X10" s="13">
        <f t="shared" si="0"/>
        <v>33</v>
      </c>
    </row>
    <row r="11" spans="1:27" ht="13.5" customHeight="1" x14ac:dyDescent="0.3">
      <c r="A11" s="6" t="s">
        <v>18</v>
      </c>
      <c r="B11" s="6" t="s">
        <v>7</v>
      </c>
      <c r="C11" s="6" t="s">
        <v>19</v>
      </c>
      <c r="D11" s="8">
        <v>45721</v>
      </c>
      <c r="E11" s="7">
        <v>0.47916666666666669</v>
      </c>
      <c r="F11" s="5"/>
      <c r="G11" s="14" t="s">
        <v>39</v>
      </c>
      <c r="H11" s="6" cm="1">
        <f t="array" ref="H11">SUMPRODUCT(('2025-상반기'!$A:$A=$G11)*('2025-상반기'!$B:$B=H$1))</f>
        <v>1</v>
      </c>
      <c r="I11" s="6" cm="1">
        <f t="array" ref="I11">SUMPRODUCT(('2025-상반기'!$A:$A=$G11)*('2025-상반기'!$B:$B=I$1))</f>
        <v>59</v>
      </c>
      <c r="J11" s="6" cm="1">
        <f t="array" ref="J11">SUMPRODUCT(('2025-상반기'!$A:$A=$G11)*('2025-상반기'!$B:$B=J$1))</f>
        <v>12</v>
      </c>
      <c r="K11" s="6" cm="1">
        <f t="array" ref="K11">SUMPRODUCT(('2025-상반기'!$A:$A=$G11)*('2025-상반기'!$B:$B=K$1))</f>
        <v>0</v>
      </c>
      <c r="L11" s="6" cm="1">
        <f t="array" ref="L11">SUMPRODUCT(('2025-상반기'!$A:$A=$G11)*('2025-상반기'!$B:$B=L$1))</f>
        <v>0</v>
      </c>
      <c r="M11" s="6" cm="1">
        <f t="array" ref="M11">SUMPRODUCT(('2025-상반기'!$A:$A=$G11)*('2025-상반기'!$B:$B=M$1))</f>
        <v>0</v>
      </c>
      <c r="N11" s="6" cm="1">
        <f t="array" ref="N11">SUMPRODUCT(('2025-상반기'!$A:$A=$G11)*('2025-상반기'!$B:$B=N$1))</f>
        <v>0</v>
      </c>
      <c r="O11" s="13">
        <f t="shared" si="1"/>
        <v>72</v>
      </c>
      <c r="P11" s="6"/>
      <c r="Q11" s="14" t="s">
        <v>39</v>
      </c>
      <c r="R11" s="6">
        <v>26</v>
      </c>
      <c r="S11" s="6">
        <v>14</v>
      </c>
      <c r="T11" s="6">
        <v>11</v>
      </c>
      <c r="U11" s="6">
        <v>6</v>
      </c>
      <c r="V11" s="6">
        <v>6</v>
      </c>
      <c r="W11" s="6">
        <v>6</v>
      </c>
      <c r="X11" s="13">
        <f t="shared" si="0"/>
        <v>69</v>
      </c>
    </row>
    <row r="12" spans="1:27" ht="13.5" customHeight="1" x14ac:dyDescent="0.3">
      <c r="A12" s="6" t="s">
        <v>9</v>
      </c>
      <c r="B12" s="6" t="s">
        <v>7</v>
      </c>
      <c r="C12" s="6" t="s">
        <v>20</v>
      </c>
      <c r="D12" s="8">
        <v>45722</v>
      </c>
      <c r="E12" s="7">
        <v>0.4375</v>
      </c>
      <c r="G12" s="14" t="s">
        <v>27</v>
      </c>
      <c r="H12" s="6" cm="1">
        <f t="array" ref="H12">SUMPRODUCT(('2025-상반기'!$A:$A=$G12)*('2025-상반기'!$B:$B=H$1))</f>
        <v>0</v>
      </c>
      <c r="I12" s="6" cm="1">
        <f t="array" ref="I12">SUMPRODUCT(('2025-상반기'!$A:$A=$G12)*('2025-상반기'!$B:$B=I$1))</f>
        <v>1</v>
      </c>
      <c r="J12" s="6" cm="1">
        <f t="array" ref="J12">SUMPRODUCT(('2025-상반기'!$A:$A=$G12)*('2025-상반기'!$B:$B=J$1))</f>
        <v>0</v>
      </c>
      <c r="K12" s="6" cm="1">
        <f t="array" ref="K12">SUMPRODUCT(('2025-상반기'!$A:$A=$G12)*('2025-상반기'!$B:$B=K$1))</f>
        <v>0</v>
      </c>
      <c r="L12" s="6" cm="1">
        <f t="array" ref="L12">SUMPRODUCT(('2025-상반기'!$A:$A=$G12)*('2025-상반기'!$B:$B=L$1))</f>
        <v>0</v>
      </c>
      <c r="M12" s="6" cm="1">
        <f t="array" ref="M12">SUMPRODUCT(('2025-상반기'!$A:$A=$G12)*('2025-상반기'!$B:$B=M$1))</f>
        <v>0</v>
      </c>
      <c r="N12" s="6" cm="1">
        <f t="array" ref="N12">SUMPRODUCT(('2025-상반기'!$A:$A=$G12)*('2025-상반기'!$B:$B=N$1))</f>
        <v>9</v>
      </c>
      <c r="O12" s="13">
        <f t="shared" si="1"/>
        <v>10</v>
      </c>
      <c r="P12" s="7"/>
      <c r="Q12" s="14" t="s">
        <v>27</v>
      </c>
      <c r="R12" s="6">
        <v>0</v>
      </c>
      <c r="S12" s="6">
        <v>0</v>
      </c>
      <c r="T12" s="6">
        <v>10</v>
      </c>
      <c r="U12" s="6">
        <v>0</v>
      </c>
      <c r="V12" s="6">
        <v>0</v>
      </c>
      <c r="W12" s="6">
        <v>0</v>
      </c>
      <c r="X12" s="13">
        <f t="shared" si="0"/>
        <v>10</v>
      </c>
    </row>
    <row r="13" spans="1:27" ht="13.5" customHeight="1" x14ac:dyDescent="0.3">
      <c r="A13" s="6" t="s">
        <v>9</v>
      </c>
      <c r="B13" s="6" t="s">
        <v>7</v>
      </c>
      <c r="C13" s="6" t="s">
        <v>20</v>
      </c>
      <c r="D13" s="8">
        <v>45722</v>
      </c>
      <c r="E13" s="7">
        <v>0.47916666666666669</v>
      </c>
      <c r="G13" s="14" t="s">
        <v>40</v>
      </c>
      <c r="H13" s="6" cm="1">
        <f t="array" ref="H13">SUMPRODUCT(('2025-상반기'!$A:$A=$G13)*('2025-상반기'!$B:$B=H$1))</f>
        <v>0</v>
      </c>
      <c r="I13" s="6" cm="1">
        <f t="array" ref="I13">SUMPRODUCT(('2025-상반기'!$A:$A=$G13)*('2025-상반기'!$B:$B=I$1))</f>
        <v>3</v>
      </c>
      <c r="J13" s="6" cm="1">
        <f t="array" ref="J13">SUMPRODUCT(('2025-상반기'!$A:$A=$G13)*('2025-상반기'!$B:$B=J$1))</f>
        <v>0</v>
      </c>
      <c r="K13" s="6" cm="1">
        <f t="array" ref="K13">SUMPRODUCT(('2025-상반기'!$A:$A=$G13)*('2025-상반기'!$B:$B=K$1))</f>
        <v>0</v>
      </c>
      <c r="L13" s="6" cm="1">
        <f t="array" ref="L13">SUMPRODUCT(('2025-상반기'!$A:$A=$G13)*('2025-상반기'!$B:$B=L$1))</f>
        <v>0</v>
      </c>
      <c r="M13" s="6" cm="1">
        <f t="array" ref="M13">SUMPRODUCT(('2025-상반기'!$A:$A=$G13)*('2025-상반기'!$B:$B=M$1))</f>
        <v>19</v>
      </c>
      <c r="N13" s="6" cm="1">
        <f t="array" ref="N13">SUMPRODUCT(('2025-상반기'!$A:$A=$G13)*('2025-상반기'!$B:$B=N$1))</f>
        <v>0</v>
      </c>
      <c r="O13" s="13">
        <f t="shared" si="1"/>
        <v>22</v>
      </c>
      <c r="P13" s="7"/>
      <c r="Q13" s="14" t="s">
        <v>40</v>
      </c>
      <c r="R13" s="6">
        <v>8</v>
      </c>
      <c r="S13" s="6">
        <v>6</v>
      </c>
      <c r="T13" s="6">
        <v>8</v>
      </c>
      <c r="U13" s="6">
        <v>0</v>
      </c>
      <c r="V13" s="6">
        <v>0</v>
      </c>
      <c r="W13" s="6">
        <v>0</v>
      </c>
      <c r="X13" s="13">
        <f t="shared" si="0"/>
        <v>22</v>
      </c>
    </row>
    <row r="14" spans="1:27" ht="13.5" customHeight="1" x14ac:dyDescent="0.3">
      <c r="A14" s="6" t="s">
        <v>9</v>
      </c>
      <c r="B14" s="6" t="s">
        <v>7</v>
      </c>
      <c r="C14" s="6" t="s">
        <v>20</v>
      </c>
      <c r="D14" s="8">
        <v>45722</v>
      </c>
      <c r="E14" s="7">
        <v>0.52083333333333337</v>
      </c>
      <c r="G14" s="14" t="s">
        <v>41</v>
      </c>
      <c r="H14" s="6" cm="1">
        <f t="array" ref="H14">SUMPRODUCT(('2025-상반기'!$A:$A=$G14)*('2025-상반기'!$B:$B=H$1))</f>
        <v>1</v>
      </c>
      <c r="I14" s="6" cm="1">
        <f t="array" ref="I14">SUMPRODUCT(('2025-상반기'!$A:$A=$G14)*('2025-상반기'!$B:$B=I$1))</f>
        <v>50</v>
      </c>
      <c r="J14" s="6" cm="1">
        <f t="array" ref="J14">SUMPRODUCT(('2025-상반기'!$A:$A=$G14)*('2025-상반기'!$B:$B=J$1))</f>
        <v>0</v>
      </c>
      <c r="K14" s="6" cm="1">
        <f t="array" ref="K14">SUMPRODUCT(('2025-상반기'!$A:$A=$G14)*('2025-상반기'!$B:$B=K$1))</f>
        <v>0</v>
      </c>
      <c r="L14" s="6" cm="1">
        <f t="array" ref="L14">SUMPRODUCT(('2025-상반기'!$A:$A=$G14)*('2025-상반기'!$B:$B=L$1))</f>
        <v>0</v>
      </c>
      <c r="M14" s="6" cm="1">
        <f t="array" ref="M14">SUMPRODUCT(('2025-상반기'!$A:$A=$G14)*('2025-상반기'!$B:$B=M$1))</f>
        <v>0</v>
      </c>
      <c r="N14" s="6" cm="1">
        <f t="array" ref="N14">SUMPRODUCT(('2025-상반기'!$A:$A=$G14)*('2025-상반기'!$B:$B=N$1))</f>
        <v>0</v>
      </c>
      <c r="O14" s="13">
        <f t="shared" si="1"/>
        <v>51</v>
      </c>
      <c r="P14" s="7"/>
      <c r="Q14" s="14" t="s">
        <v>41</v>
      </c>
      <c r="R14" s="6">
        <v>21</v>
      </c>
      <c r="S14" s="6">
        <v>8</v>
      </c>
      <c r="T14" s="6">
        <v>12</v>
      </c>
      <c r="U14" s="6">
        <v>4</v>
      </c>
      <c r="V14" s="6">
        <v>4</v>
      </c>
      <c r="W14" s="6">
        <v>2</v>
      </c>
      <c r="X14" s="13">
        <f t="shared" si="0"/>
        <v>51</v>
      </c>
    </row>
    <row r="15" spans="1:27" ht="13.5" customHeight="1" x14ac:dyDescent="0.3">
      <c r="A15" s="6" t="s">
        <v>9</v>
      </c>
      <c r="B15" s="6" t="s">
        <v>7</v>
      </c>
      <c r="C15" s="6" t="s">
        <v>20</v>
      </c>
      <c r="D15" s="8">
        <v>45722</v>
      </c>
      <c r="E15" s="7">
        <v>0.5625</v>
      </c>
      <c r="G15" s="14" t="s">
        <v>42</v>
      </c>
      <c r="H15" s="6" cm="1">
        <f t="array" ref="H15">SUMPRODUCT(('2025-상반기'!$A:$A=$G15)*('2025-상반기'!$B:$B=H$1))</f>
        <v>0</v>
      </c>
      <c r="I15" s="6" cm="1">
        <f t="array" ref="I15">SUMPRODUCT(('2025-상반기'!$A:$A=$G15)*('2025-상반기'!$B:$B=I$1))</f>
        <v>38</v>
      </c>
      <c r="J15" s="6" cm="1">
        <f t="array" ref="J15">SUMPRODUCT(('2025-상반기'!$A:$A=$G15)*('2025-상반기'!$B:$B=J$1))</f>
        <v>0</v>
      </c>
      <c r="K15" s="6" cm="1">
        <f t="array" ref="K15">SUMPRODUCT(('2025-상반기'!$A:$A=$G15)*('2025-상반기'!$B:$B=K$1))</f>
        <v>0</v>
      </c>
      <c r="L15" s="6" cm="1">
        <f t="array" ref="L15">SUMPRODUCT(('2025-상반기'!$A:$A=$G15)*('2025-상반기'!$B:$B=L$1))</f>
        <v>0</v>
      </c>
      <c r="M15" s="6" cm="1">
        <f t="array" ref="M15">SUMPRODUCT(('2025-상반기'!$A:$A=$G15)*('2025-상반기'!$B:$B=M$1))</f>
        <v>0</v>
      </c>
      <c r="N15" s="6" cm="1">
        <f t="array" ref="N15">SUMPRODUCT(('2025-상반기'!$A:$A=$G15)*('2025-상반기'!$B:$B=N$1))</f>
        <v>0</v>
      </c>
      <c r="O15" s="13">
        <f t="shared" si="1"/>
        <v>38</v>
      </c>
      <c r="P15" s="7"/>
      <c r="Q15" s="14" t="s">
        <v>42</v>
      </c>
      <c r="R15" s="6">
        <v>12</v>
      </c>
      <c r="S15" s="6">
        <v>6</v>
      </c>
      <c r="T15" s="6">
        <v>10</v>
      </c>
      <c r="U15" s="6">
        <v>4</v>
      </c>
      <c r="V15" s="6">
        <v>4</v>
      </c>
      <c r="W15" s="6">
        <v>2</v>
      </c>
      <c r="X15" s="13">
        <f t="shared" si="0"/>
        <v>38</v>
      </c>
    </row>
    <row r="16" spans="1:27" ht="13.5" customHeight="1" x14ac:dyDescent="0.3">
      <c r="A16" s="6" t="s">
        <v>15</v>
      </c>
      <c r="B16" s="6" t="s">
        <v>43</v>
      </c>
      <c r="C16" s="6" t="s">
        <v>19</v>
      </c>
      <c r="D16" s="8">
        <v>45722</v>
      </c>
      <c r="E16" s="7">
        <v>0.4375</v>
      </c>
      <c r="G16" s="14" t="s">
        <v>24</v>
      </c>
      <c r="H16" s="6" cm="1">
        <f t="array" ref="H16">SUMPRODUCT(('2025-상반기'!$A:$A=$G16)*('2025-상반기'!$B:$B=H$1))</f>
        <v>0</v>
      </c>
      <c r="I16" s="6" cm="1">
        <f t="array" ref="I16">SUMPRODUCT(('2025-상반기'!$A:$A=$G16)*('2025-상반기'!$B:$B=I$1))</f>
        <v>4</v>
      </c>
      <c r="J16" s="6" cm="1">
        <f t="array" ref="J16">SUMPRODUCT(('2025-상반기'!$A:$A=$G16)*('2025-상반기'!$B:$B=J$1))</f>
        <v>0</v>
      </c>
      <c r="K16" s="6" cm="1">
        <f t="array" ref="K16">SUMPRODUCT(('2025-상반기'!$A:$A=$G16)*('2025-상반기'!$B:$B=K$1))</f>
        <v>0</v>
      </c>
      <c r="L16" s="6" cm="1">
        <f t="array" ref="L16">SUMPRODUCT(('2025-상반기'!$A:$A=$G16)*('2025-상반기'!$B:$B=L$1))</f>
        <v>50</v>
      </c>
      <c r="M16" s="6" cm="1">
        <f t="array" ref="M16">SUMPRODUCT(('2025-상반기'!$A:$A=$G16)*('2025-상반기'!$B:$B=M$1))</f>
        <v>0</v>
      </c>
      <c r="N16" s="6" cm="1">
        <f t="array" ref="N16">SUMPRODUCT(('2025-상반기'!$A:$A=$G16)*('2025-상반기'!$B:$B=N$1))</f>
        <v>0</v>
      </c>
      <c r="O16" s="13">
        <f t="shared" si="1"/>
        <v>54</v>
      </c>
      <c r="P16" s="7"/>
      <c r="Q16" s="14" t="s">
        <v>24</v>
      </c>
      <c r="R16" s="6">
        <v>22</v>
      </c>
      <c r="S16" s="6">
        <v>11</v>
      </c>
      <c r="T16" s="6">
        <v>11</v>
      </c>
      <c r="U16" s="6">
        <v>6</v>
      </c>
      <c r="V16" s="6">
        <v>2</v>
      </c>
      <c r="W16" s="6">
        <v>4</v>
      </c>
      <c r="X16" s="13">
        <f t="shared" si="0"/>
        <v>56</v>
      </c>
    </row>
    <row r="17" spans="1:24" ht="13.5" customHeight="1" x14ac:dyDescent="0.3">
      <c r="A17" s="6" t="s">
        <v>15</v>
      </c>
      <c r="B17" s="6" t="s">
        <v>43</v>
      </c>
      <c r="C17" s="6" t="s">
        <v>19</v>
      </c>
      <c r="D17" s="8">
        <v>45722</v>
      </c>
      <c r="E17" s="7">
        <v>0.47916666666666669</v>
      </c>
      <c r="G17" s="14" t="s">
        <v>31</v>
      </c>
      <c r="H17" s="6" cm="1">
        <f t="array" ref="H17">SUMPRODUCT(('2025-상반기'!$A:$A=$G17)*('2025-상반기'!$B:$B=H$1))</f>
        <v>0</v>
      </c>
      <c r="I17" s="6" cm="1">
        <f t="array" ref="I17">SUMPRODUCT(('2025-상반기'!$A:$A=$G17)*('2025-상반기'!$B:$B=I$1))</f>
        <v>0</v>
      </c>
      <c r="J17" s="6" cm="1">
        <f t="array" ref="J17">SUMPRODUCT(('2025-상반기'!$A:$A=$G17)*('2025-상반기'!$B:$B=J$1))</f>
        <v>0</v>
      </c>
      <c r="K17" s="6" cm="1">
        <f t="array" ref="K17">SUMPRODUCT(('2025-상반기'!$A:$A=$G17)*('2025-상반기'!$B:$B=K$1))</f>
        <v>21</v>
      </c>
      <c r="L17" s="6" cm="1">
        <f t="array" ref="L17">SUMPRODUCT(('2025-상반기'!$A:$A=$G17)*('2025-상반기'!$B:$B=L$1))</f>
        <v>0</v>
      </c>
      <c r="M17" s="6" cm="1">
        <f t="array" ref="M17">SUMPRODUCT(('2025-상반기'!$A:$A=$G17)*('2025-상반기'!$B:$B=M$1))</f>
        <v>0</v>
      </c>
      <c r="N17" s="6" cm="1">
        <f t="array" ref="N17">SUMPRODUCT(('2025-상반기'!$A:$A=$G17)*('2025-상반기'!$B:$B=N$1))</f>
        <v>0</v>
      </c>
      <c r="O17" s="13">
        <f t="shared" si="1"/>
        <v>21</v>
      </c>
      <c r="P17" s="7"/>
      <c r="Q17" s="14" t="s">
        <v>31</v>
      </c>
      <c r="R17" s="6">
        <v>5</v>
      </c>
      <c r="S17" s="6">
        <v>3</v>
      </c>
      <c r="T17" s="6">
        <v>5</v>
      </c>
      <c r="U17" s="6">
        <v>2</v>
      </c>
      <c r="V17" s="6">
        <v>4</v>
      </c>
      <c r="W17" s="6">
        <v>2</v>
      </c>
      <c r="X17" s="13">
        <f t="shared" si="0"/>
        <v>21</v>
      </c>
    </row>
    <row r="18" spans="1:24" ht="13.5" customHeight="1" x14ac:dyDescent="0.3">
      <c r="A18" s="6" t="s">
        <v>23</v>
      </c>
      <c r="B18" s="6" t="s">
        <v>6</v>
      </c>
      <c r="C18" s="6" t="s">
        <v>19</v>
      </c>
      <c r="D18" s="8">
        <v>45722</v>
      </c>
      <c r="E18" s="7">
        <v>0.45833333333333331</v>
      </c>
      <c r="G18" s="14" t="s">
        <v>13</v>
      </c>
      <c r="H18" s="6" cm="1">
        <f t="array" ref="H18">SUMPRODUCT(('2025-상반기'!$A:$A=$G18)*('2025-상반기'!$B:$B=H$1))</f>
        <v>11</v>
      </c>
      <c r="I18" s="6" cm="1">
        <f t="array" ref="I18">SUMPRODUCT(('2025-상반기'!$A:$A=$G18)*('2025-상반기'!$B:$B=I$1))</f>
        <v>23</v>
      </c>
      <c r="J18" s="6" cm="1">
        <f t="array" ref="J18">SUMPRODUCT(('2025-상반기'!$A:$A=$G18)*('2025-상반기'!$B:$B=J$1))</f>
        <v>0</v>
      </c>
      <c r="K18" s="6" cm="1">
        <f t="array" ref="K18">SUMPRODUCT(('2025-상반기'!$A:$A=$G18)*('2025-상반기'!$B:$B=K$1))</f>
        <v>0</v>
      </c>
      <c r="L18" s="6" cm="1">
        <f t="array" ref="L18">SUMPRODUCT(('2025-상반기'!$A:$A=$G18)*('2025-상반기'!$B:$B=L$1))</f>
        <v>0</v>
      </c>
      <c r="M18" s="6" cm="1">
        <f t="array" ref="M18">SUMPRODUCT(('2025-상반기'!$A:$A=$G18)*('2025-상반기'!$B:$B=M$1))</f>
        <v>0</v>
      </c>
      <c r="N18" s="6" cm="1">
        <f t="array" ref="N18">SUMPRODUCT(('2025-상반기'!$A:$A=$G18)*('2025-상반기'!$B:$B=N$1))</f>
        <v>0</v>
      </c>
      <c r="O18" s="13">
        <f t="shared" si="1"/>
        <v>34</v>
      </c>
      <c r="P18" s="6"/>
      <c r="Q18" s="14" t="s">
        <v>13</v>
      </c>
      <c r="R18" s="6">
        <v>8</v>
      </c>
      <c r="S18" s="6">
        <v>6</v>
      </c>
      <c r="T18" s="6">
        <v>8</v>
      </c>
      <c r="U18" s="6">
        <v>4</v>
      </c>
      <c r="V18" s="6">
        <v>4</v>
      </c>
      <c r="W18" s="6">
        <v>4</v>
      </c>
      <c r="X18" s="13">
        <f t="shared" si="0"/>
        <v>34</v>
      </c>
    </row>
    <row r="19" spans="1:24" ht="13.5" customHeight="1" x14ac:dyDescent="0.3">
      <c r="A19" s="6" t="s">
        <v>23</v>
      </c>
      <c r="B19" s="6" t="s">
        <v>6</v>
      </c>
      <c r="C19" s="6" t="s">
        <v>19</v>
      </c>
      <c r="D19" s="8">
        <v>45722</v>
      </c>
      <c r="E19" s="7">
        <v>0.5</v>
      </c>
      <c r="G19" s="14" t="s">
        <v>25</v>
      </c>
      <c r="H19" s="6" cm="1">
        <f t="array" ref="H19">SUMPRODUCT(('2025-상반기'!$A:$A=$G19)*('2025-상반기'!$B:$B=H$1))</f>
        <v>0</v>
      </c>
      <c r="I19" s="6" cm="1">
        <f t="array" ref="I19">SUMPRODUCT(('2025-상반기'!$A:$A=$G19)*('2025-상반기'!$B:$B=I$1))</f>
        <v>0</v>
      </c>
      <c r="J19" s="6" cm="1">
        <f t="array" ref="J19">SUMPRODUCT(('2025-상반기'!$A:$A=$G19)*('2025-상반기'!$B:$B=J$1))</f>
        <v>0</v>
      </c>
      <c r="K19" s="6" cm="1">
        <f t="array" ref="K19">SUMPRODUCT(('2025-상반기'!$A:$A=$G19)*('2025-상반기'!$B:$B=K$1))</f>
        <v>0</v>
      </c>
      <c r="L19" s="6" cm="1">
        <f t="array" ref="L19">SUMPRODUCT(('2025-상반기'!$A:$A=$G19)*('2025-상반기'!$B:$B=L$1))</f>
        <v>0</v>
      </c>
      <c r="M19" s="6" cm="1">
        <f t="array" ref="M19">SUMPRODUCT(('2025-상반기'!$A:$A=$G19)*('2025-상반기'!$B:$B=M$1))</f>
        <v>0</v>
      </c>
      <c r="N19" s="6" cm="1">
        <f t="array" ref="N19">SUMPRODUCT(('2025-상반기'!$A:$A=$G19)*('2025-상반기'!$B:$B=N$1))</f>
        <v>0</v>
      </c>
      <c r="O19" s="13">
        <f t="shared" si="1"/>
        <v>0</v>
      </c>
      <c r="P19" s="6"/>
      <c r="Q19" s="14" t="s">
        <v>25</v>
      </c>
      <c r="R19" s="6" t="s">
        <v>26</v>
      </c>
      <c r="S19" s="6" t="s">
        <v>26</v>
      </c>
      <c r="T19" s="6" t="s">
        <v>26</v>
      </c>
      <c r="U19" s="6" t="s">
        <v>26</v>
      </c>
      <c r="V19" s="6" t="s">
        <v>26</v>
      </c>
      <c r="W19" s="6" t="s">
        <v>26</v>
      </c>
      <c r="X19" s="13">
        <f t="shared" si="0"/>
        <v>0</v>
      </c>
    </row>
    <row r="20" spans="1:24" ht="13.5" customHeight="1" thickBot="1" x14ac:dyDescent="0.35">
      <c r="A20" s="6" t="s">
        <v>23</v>
      </c>
      <c r="B20" s="6" t="s">
        <v>6</v>
      </c>
      <c r="C20" s="6" t="s">
        <v>19</v>
      </c>
      <c r="D20" s="8">
        <v>45722</v>
      </c>
      <c r="E20" s="7">
        <v>0.54166666666666663</v>
      </c>
      <c r="G20" s="17" t="s">
        <v>33</v>
      </c>
      <c r="H20" s="18">
        <f t="shared" ref="H20:N20" si="2">SUM(H2:H19)</f>
        <v>113</v>
      </c>
      <c r="I20" s="18">
        <f t="shared" si="2"/>
        <v>371</v>
      </c>
      <c r="J20" s="18">
        <f t="shared" si="2"/>
        <v>18</v>
      </c>
      <c r="K20" s="18">
        <f t="shared" si="2"/>
        <v>34</v>
      </c>
      <c r="L20" s="18">
        <f t="shared" si="2"/>
        <v>67</v>
      </c>
      <c r="M20" s="18">
        <f t="shared" si="2"/>
        <v>19</v>
      </c>
      <c r="N20" s="18">
        <f t="shared" si="2"/>
        <v>9</v>
      </c>
      <c r="O20" s="18">
        <f>SUM(O2:O19)</f>
        <v>631</v>
      </c>
      <c r="P20" s="10"/>
      <c r="Q20" s="17" t="s">
        <v>33</v>
      </c>
      <c r="R20" s="18">
        <f t="shared" ref="R20:X20" si="3">SUM(R2:R19)</f>
        <v>209</v>
      </c>
      <c r="S20" s="18">
        <f t="shared" si="3"/>
        <v>112</v>
      </c>
      <c r="T20" s="18">
        <f t="shared" si="3"/>
        <v>145</v>
      </c>
      <c r="U20" s="18">
        <f t="shared" si="3"/>
        <v>64</v>
      </c>
      <c r="V20" s="18">
        <f t="shared" si="3"/>
        <v>52</v>
      </c>
      <c r="W20" s="18">
        <f t="shared" si="3"/>
        <v>44</v>
      </c>
      <c r="X20" s="18">
        <f t="shared" si="3"/>
        <v>626</v>
      </c>
    </row>
    <row r="21" spans="1:24" ht="13.5" customHeight="1" thickTop="1" x14ac:dyDescent="0.3">
      <c r="A21" s="6" t="s">
        <v>31</v>
      </c>
      <c r="B21" s="6" t="s">
        <v>14</v>
      </c>
      <c r="C21" s="6" t="s">
        <v>19</v>
      </c>
      <c r="D21" s="8">
        <v>45722</v>
      </c>
      <c r="E21" s="7">
        <v>0.41666666666666669</v>
      </c>
      <c r="G21" s="1"/>
      <c r="H21" s="1"/>
      <c r="I21" s="1"/>
      <c r="J21" s="1"/>
      <c r="K21" s="1"/>
      <c r="L21" s="1"/>
      <c r="M21" s="1"/>
      <c r="N21" s="1"/>
      <c r="O21" s="18">
        <f>SUM(H20:N20)</f>
        <v>631</v>
      </c>
      <c r="P21" s="19"/>
      <c r="R21" s="1"/>
      <c r="S21" s="1"/>
      <c r="T21" s="1"/>
      <c r="U21" s="1"/>
      <c r="V21" s="1"/>
      <c r="W21" s="1"/>
      <c r="X21" s="18">
        <f>SUM(R20:W20)</f>
        <v>626</v>
      </c>
    </row>
    <row r="22" spans="1:24" ht="13.5" customHeight="1" x14ac:dyDescent="0.3">
      <c r="A22" s="6" t="s">
        <v>31</v>
      </c>
      <c r="B22" s="6" t="s">
        <v>14</v>
      </c>
      <c r="C22" s="6" t="s">
        <v>19</v>
      </c>
      <c r="D22" s="8">
        <v>45722</v>
      </c>
      <c r="E22" s="7">
        <v>0.45833333333333331</v>
      </c>
    </row>
    <row r="23" spans="1:24" ht="13.5" customHeight="1" x14ac:dyDescent="0.3">
      <c r="A23" s="6" t="s">
        <v>12</v>
      </c>
      <c r="B23" s="6" t="s">
        <v>7</v>
      </c>
      <c r="C23" s="6" t="s">
        <v>19</v>
      </c>
      <c r="D23" s="8">
        <v>45723</v>
      </c>
      <c r="E23" s="7">
        <v>0.41666666666666669</v>
      </c>
    </row>
    <row r="24" spans="1:24" ht="13.5" customHeight="1" x14ac:dyDescent="0.3">
      <c r="A24" s="6" t="s">
        <v>12</v>
      </c>
      <c r="B24" s="6" t="s">
        <v>7</v>
      </c>
      <c r="C24" s="6" t="s">
        <v>19</v>
      </c>
      <c r="D24" s="8">
        <v>45723</v>
      </c>
      <c r="E24" s="7">
        <v>0.45833333333333331</v>
      </c>
    </row>
    <row r="25" spans="1:24" ht="13.5" customHeight="1" x14ac:dyDescent="0.3">
      <c r="A25" s="6" t="s">
        <v>12</v>
      </c>
      <c r="B25" s="6" t="s">
        <v>7</v>
      </c>
      <c r="C25" s="6" t="s">
        <v>19</v>
      </c>
      <c r="D25" s="8">
        <v>45723</v>
      </c>
      <c r="E25" s="7">
        <v>0.5</v>
      </c>
    </row>
    <row r="26" spans="1:24" ht="13.5" customHeight="1" x14ac:dyDescent="0.3">
      <c r="A26" s="6" t="s">
        <v>3</v>
      </c>
      <c r="B26" s="6" t="s">
        <v>7</v>
      </c>
      <c r="C26" s="6" t="s">
        <v>19</v>
      </c>
      <c r="D26" s="8">
        <v>45723</v>
      </c>
      <c r="E26" s="7">
        <v>0.39583333333333331</v>
      </c>
    </row>
    <row r="27" spans="1:24" ht="13.5" customHeight="1" x14ac:dyDescent="0.3">
      <c r="A27" s="6" t="s">
        <v>3</v>
      </c>
      <c r="B27" s="6" t="s">
        <v>7</v>
      </c>
      <c r="C27" s="6" t="s">
        <v>19</v>
      </c>
      <c r="D27" s="8">
        <v>45723</v>
      </c>
      <c r="E27" s="7">
        <v>0.4375</v>
      </c>
    </row>
    <row r="28" spans="1:24" ht="13.5" customHeight="1" x14ac:dyDescent="0.3">
      <c r="A28" s="6" t="s">
        <v>3</v>
      </c>
      <c r="B28" s="6" t="s">
        <v>7</v>
      </c>
      <c r="C28" s="6" t="s">
        <v>19</v>
      </c>
      <c r="D28" s="8">
        <v>45723</v>
      </c>
      <c r="E28" s="7">
        <v>0.47916666666666669</v>
      </c>
    </row>
    <row r="29" spans="1:24" ht="13.5" customHeight="1" x14ac:dyDescent="0.3">
      <c r="A29" s="6" t="s">
        <v>30</v>
      </c>
      <c r="B29" s="6" t="s">
        <v>16</v>
      </c>
      <c r="C29" s="6" t="s">
        <v>19</v>
      </c>
      <c r="D29" s="8">
        <v>45724</v>
      </c>
      <c r="E29" s="7">
        <v>0.375</v>
      </c>
    </row>
    <row r="30" spans="1:24" ht="13.5" customHeight="1" x14ac:dyDescent="0.3">
      <c r="A30" s="6" t="s">
        <v>30</v>
      </c>
      <c r="B30" s="6" t="s">
        <v>16</v>
      </c>
      <c r="C30" s="6" t="s">
        <v>19</v>
      </c>
      <c r="D30" s="8">
        <v>45724</v>
      </c>
      <c r="E30" s="7">
        <v>0.41666666666666669</v>
      </c>
    </row>
    <row r="31" spans="1:24" ht="13.5" customHeight="1" x14ac:dyDescent="0.3">
      <c r="A31" s="6" t="s">
        <v>10</v>
      </c>
      <c r="B31" s="6" t="s">
        <v>7</v>
      </c>
      <c r="C31" s="6" t="s">
        <v>19</v>
      </c>
      <c r="D31" s="8">
        <v>45724</v>
      </c>
      <c r="E31" s="7">
        <v>0.39583333333333331</v>
      </c>
    </row>
    <row r="32" spans="1:24" ht="13.5" customHeight="1" x14ac:dyDescent="0.3">
      <c r="A32" s="6" t="s">
        <v>10</v>
      </c>
      <c r="B32" s="6" t="s">
        <v>7</v>
      </c>
      <c r="C32" s="6" t="s">
        <v>19</v>
      </c>
      <c r="D32" s="8">
        <v>45724</v>
      </c>
      <c r="E32" s="7">
        <v>0.4375</v>
      </c>
    </row>
    <row r="33" spans="1:5" ht="13.5" customHeight="1" x14ac:dyDescent="0.3">
      <c r="A33" s="6" t="s">
        <v>4</v>
      </c>
      <c r="B33" s="6" t="s">
        <v>7</v>
      </c>
      <c r="C33" s="6" t="s">
        <v>19</v>
      </c>
      <c r="D33" s="8">
        <v>45724</v>
      </c>
      <c r="E33" s="7">
        <v>0.41666666666666669</v>
      </c>
    </row>
    <row r="34" spans="1:5" ht="13.5" customHeight="1" x14ac:dyDescent="0.3">
      <c r="A34" s="6" t="s">
        <v>4</v>
      </c>
      <c r="B34" s="6" t="s">
        <v>7</v>
      </c>
      <c r="C34" s="6" t="s">
        <v>19</v>
      </c>
      <c r="D34" s="8">
        <v>45724</v>
      </c>
      <c r="E34" s="7">
        <v>0.45833333333333331</v>
      </c>
    </row>
    <row r="35" spans="1:5" ht="13.5" customHeight="1" x14ac:dyDescent="0.3">
      <c r="A35" s="6" t="s">
        <v>4</v>
      </c>
      <c r="B35" s="6" t="s">
        <v>8</v>
      </c>
      <c r="C35" s="6" t="s">
        <v>19</v>
      </c>
      <c r="D35" s="8">
        <v>45724</v>
      </c>
      <c r="E35" s="7">
        <v>0.5</v>
      </c>
    </row>
    <row r="36" spans="1:5" ht="13.5" customHeight="1" x14ac:dyDescent="0.3">
      <c r="A36" s="6" t="s">
        <v>3</v>
      </c>
      <c r="B36" s="6" t="s">
        <v>7</v>
      </c>
      <c r="C36" s="6" t="s">
        <v>19</v>
      </c>
      <c r="D36" s="8">
        <v>45724</v>
      </c>
      <c r="E36" s="7">
        <v>0.375</v>
      </c>
    </row>
    <row r="37" spans="1:5" ht="13.5" customHeight="1" x14ac:dyDescent="0.3">
      <c r="A37" s="6" t="s">
        <v>3</v>
      </c>
      <c r="B37" s="6" t="s">
        <v>7</v>
      </c>
      <c r="C37" s="6" t="s">
        <v>19</v>
      </c>
      <c r="D37" s="8">
        <v>45724</v>
      </c>
      <c r="E37" s="7">
        <v>0.41666666666666669</v>
      </c>
    </row>
    <row r="38" spans="1:5" ht="13.5" customHeight="1" x14ac:dyDescent="0.3">
      <c r="A38" s="6" t="s">
        <v>24</v>
      </c>
      <c r="B38" s="6" t="s">
        <v>16</v>
      </c>
      <c r="C38" s="6" t="s">
        <v>19</v>
      </c>
      <c r="D38" s="8">
        <v>45724</v>
      </c>
      <c r="E38" s="7">
        <v>0.39583333333333331</v>
      </c>
    </row>
    <row r="39" spans="1:5" ht="13.5" customHeight="1" x14ac:dyDescent="0.3">
      <c r="A39" s="6" t="s">
        <v>24</v>
      </c>
      <c r="B39" s="6" t="s">
        <v>16</v>
      </c>
      <c r="C39" s="6" t="s">
        <v>19</v>
      </c>
      <c r="D39" s="8">
        <v>45724</v>
      </c>
      <c r="E39" s="7">
        <v>0.4375</v>
      </c>
    </row>
    <row r="40" spans="1:5" ht="13.5" customHeight="1" x14ac:dyDescent="0.3">
      <c r="A40" s="6" t="s">
        <v>24</v>
      </c>
      <c r="B40" s="6" t="s">
        <v>16</v>
      </c>
      <c r="C40" s="6" t="s">
        <v>19</v>
      </c>
      <c r="D40" s="8">
        <v>45724</v>
      </c>
      <c r="E40" s="7">
        <v>0.47916666666666669</v>
      </c>
    </row>
    <row r="41" spans="1:5" ht="13.5" customHeight="1" x14ac:dyDescent="0.3">
      <c r="A41" s="6" t="s">
        <v>24</v>
      </c>
      <c r="B41" s="6" t="s">
        <v>16</v>
      </c>
      <c r="C41" s="6" t="s">
        <v>20</v>
      </c>
      <c r="D41" s="8">
        <v>45720</v>
      </c>
      <c r="E41" s="7">
        <v>0.41666666666666669</v>
      </c>
    </row>
    <row r="42" spans="1:5" ht="13.5" customHeight="1" x14ac:dyDescent="0.3">
      <c r="A42" s="6" t="s">
        <v>24</v>
      </c>
      <c r="B42" s="6" t="s">
        <v>16</v>
      </c>
      <c r="C42" s="6" t="s">
        <v>20</v>
      </c>
      <c r="D42" s="8">
        <v>45720</v>
      </c>
      <c r="E42" s="7">
        <v>0.45833333333333331</v>
      </c>
    </row>
    <row r="43" spans="1:5" ht="13.5" customHeight="1" x14ac:dyDescent="0.3">
      <c r="A43" s="6" t="s">
        <v>24</v>
      </c>
      <c r="B43" s="6" t="s">
        <v>16</v>
      </c>
      <c r="C43" s="6" t="s">
        <v>20</v>
      </c>
      <c r="D43" s="8">
        <v>45720</v>
      </c>
      <c r="E43" s="7">
        <v>0.5</v>
      </c>
    </row>
    <row r="44" spans="1:5" ht="13.5" customHeight="1" x14ac:dyDescent="0.3">
      <c r="A44" s="6" t="s">
        <v>24</v>
      </c>
      <c r="B44" s="6" t="s">
        <v>16</v>
      </c>
      <c r="C44" s="6" t="s">
        <v>20</v>
      </c>
      <c r="D44" s="8">
        <v>45720</v>
      </c>
      <c r="E44" s="7">
        <v>0.54166666666666663</v>
      </c>
    </row>
    <row r="45" spans="1:5" ht="13.5" customHeight="1" x14ac:dyDescent="0.3">
      <c r="A45" s="6" t="s">
        <v>29</v>
      </c>
      <c r="B45" s="6" t="s">
        <v>6</v>
      </c>
      <c r="C45" s="6" t="s">
        <v>19</v>
      </c>
      <c r="D45" s="8">
        <v>45726</v>
      </c>
      <c r="E45" s="7">
        <v>0.41666666666666669</v>
      </c>
    </row>
    <row r="46" spans="1:5" ht="13.5" customHeight="1" x14ac:dyDescent="0.3">
      <c r="A46" s="6" t="s">
        <v>29</v>
      </c>
      <c r="B46" s="6" t="s">
        <v>6</v>
      </c>
      <c r="C46" s="6" t="s">
        <v>19</v>
      </c>
      <c r="D46" s="8">
        <v>45726</v>
      </c>
      <c r="E46" s="7">
        <v>0.45833333333333331</v>
      </c>
    </row>
    <row r="47" spans="1:5" ht="13.5" customHeight="1" x14ac:dyDescent="0.3">
      <c r="A47" s="6" t="s">
        <v>29</v>
      </c>
      <c r="B47" s="6" t="s">
        <v>6</v>
      </c>
      <c r="C47" s="6" t="s">
        <v>19</v>
      </c>
      <c r="D47" s="8">
        <v>45726</v>
      </c>
      <c r="E47" s="7">
        <v>0.66666666666666663</v>
      </c>
    </row>
    <row r="48" spans="1:5" ht="13.5" customHeight="1" x14ac:dyDescent="0.3">
      <c r="A48" s="6" t="s">
        <v>10</v>
      </c>
      <c r="B48" s="6" t="s">
        <v>7</v>
      </c>
      <c r="C48" s="6" t="s">
        <v>20</v>
      </c>
      <c r="D48" s="8">
        <v>45726</v>
      </c>
      <c r="E48" s="7">
        <v>0.4236111111111111</v>
      </c>
    </row>
    <row r="49" spans="1:5" ht="13.5" customHeight="1" x14ac:dyDescent="0.3">
      <c r="A49" s="6" t="s">
        <v>10</v>
      </c>
      <c r="B49" s="6" t="s">
        <v>7</v>
      </c>
      <c r="C49" s="6" t="s">
        <v>20</v>
      </c>
      <c r="D49" s="8">
        <v>45726</v>
      </c>
      <c r="E49" s="7">
        <v>0.46527777777777779</v>
      </c>
    </row>
    <row r="50" spans="1:5" ht="13.5" customHeight="1" x14ac:dyDescent="0.3">
      <c r="A50" s="6" t="s">
        <v>10</v>
      </c>
      <c r="B50" s="6" t="s">
        <v>7</v>
      </c>
      <c r="C50" s="6" t="s">
        <v>20</v>
      </c>
      <c r="D50" s="8">
        <v>45726</v>
      </c>
      <c r="E50" s="7">
        <v>0.50694444444444442</v>
      </c>
    </row>
    <row r="51" spans="1:5" ht="13.5" customHeight="1" x14ac:dyDescent="0.3">
      <c r="A51" s="6" t="s">
        <v>10</v>
      </c>
      <c r="B51" s="6" t="s">
        <v>7</v>
      </c>
      <c r="C51" s="6" t="s">
        <v>20</v>
      </c>
      <c r="D51" s="8">
        <v>45726</v>
      </c>
      <c r="E51" s="7">
        <v>0.54861111111111116</v>
      </c>
    </row>
    <row r="52" spans="1:5" ht="13.5" customHeight="1" x14ac:dyDescent="0.3">
      <c r="A52" s="6" t="s">
        <v>11</v>
      </c>
      <c r="B52" s="6" t="s">
        <v>7</v>
      </c>
      <c r="C52" s="6" t="s">
        <v>19</v>
      </c>
      <c r="D52" s="8">
        <v>45726</v>
      </c>
      <c r="E52" s="7">
        <v>0.41666666666666669</v>
      </c>
    </row>
    <row r="53" spans="1:5" ht="13.5" customHeight="1" x14ac:dyDescent="0.3">
      <c r="A53" s="6" t="s">
        <v>11</v>
      </c>
      <c r="B53" s="6" t="s">
        <v>7</v>
      </c>
      <c r="C53" s="6" t="s">
        <v>19</v>
      </c>
      <c r="D53" s="8">
        <v>45726</v>
      </c>
      <c r="E53" s="7">
        <v>0.45833333333333331</v>
      </c>
    </row>
    <row r="54" spans="1:5" ht="13.5" customHeight="1" x14ac:dyDescent="0.3">
      <c r="A54" s="6" t="s">
        <v>11</v>
      </c>
      <c r="B54" s="6" t="s">
        <v>7</v>
      </c>
      <c r="C54" s="6" t="s">
        <v>19</v>
      </c>
      <c r="D54" s="8">
        <v>45726</v>
      </c>
      <c r="E54" s="7">
        <v>0.5</v>
      </c>
    </row>
    <row r="55" spans="1:5" ht="13.5" customHeight="1" x14ac:dyDescent="0.3">
      <c r="A55" s="6" t="s">
        <v>4</v>
      </c>
      <c r="B55" s="6" t="s">
        <v>7</v>
      </c>
      <c r="C55" s="6" t="s">
        <v>20</v>
      </c>
      <c r="D55" s="8">
        <v>45727</v>
      </c>
      <c r="E55" s="7">
        <v>0.45833333333333331</v>
      </c>
    </row>
    <row r="56" spans="1:5" ht="13.5" customHeight="1" x14ac:dyDescent="0.3">
      <c r="A56" s="6" t="s">
        <v>4</v>
      </c>
      <c r="B56" s="6" t="s">
        <v>7</v>
      </c>
      <c r="C56" s="6" t="s">
        <v>20</v>
      </c>
      <c r="D56" s="8">
        <v>45727</v>
      </c>
      <c r="E56" s="7">
        <v>0.5</v>
      </c>
    </row>
    <row r="57" spans="1:5" ht="13.5" customHeight="1" x14ac:dyDescent="0.3">
      <c r="A57" s="6" t="s">
        <v>4</v>
      </c>
      <c r="B57" s="6" t="s">
        <v>7</v>
      </c>
      <c r="C57" s="6" t="s">
        <v>20</v>
      </c>
      <c r="D57" s="8">
        <v>45727</v>
      </c>
      <c r="E57" s="7">
        <v>0.58333333333333337</v>
      </c>
    </row>
    <row r="58" spans="1:5" ht="13.5" customHeight="1" x14ac:dyDescent="0.3">
      <c r="A58" s="6" t="s">
        <v>4</v>
      </c>
      <c r="B58" s="6" t="s">
        <v>7</v>
      </c>
      <c r="C58" s="6" t="s">
        <v>20</v>
      </c>
      <c r="D58" s="8">
        <v>45727</v>
      </c>
      <c r="E58" s="7">
        <v>0.625</v>
      </c>
    </row>
    <row r="59" spans="1:5" ht="13.5" customHeight="1" x14ac:dyDescent="0.3">
      <c r="A59" s="6" t="s">
        <v>17</v>
      </c>
      <c r="B59" s="6" t="s">
        <v>7</v>
      </c>
      <c r="C59" s="6" t="s">
        <v>19</v>
      </c>
      <c r="D59" s="8">
        <v>45727</v>
      </c>
      <c r="E59" s="7">
        <v>0.41666666666666669</v>
      </c>
    </row>
    <row r="60" spans="1:5" ht="13.5" customHeight="1" x14ac:dyDescent="0.3">
      <c r="A60" s="6" t="s">
        <v>17</v>
      </c>
      <c r="B60" s="6" t="s">
        <v>7</v>
      </c>
      <c r="C60" s="6" t="s">
        <v>19</v>
      </c>
      <c r="D60" s="8">
        <v>45727</v>
      </c>
      <c r="E60" s="7">
        <v>0.45833333333333331</v>
      </c>
    </row>
    <row r="61" spans="1:5" ht="13.5" customHeight="1" x14ac:dyDescent="0.3">
      <c r="A61" s="6" t="s">
        <v>13</v>
      </c>
      <c r="B61" s="6" t="s">
        <v>7</v>
      </c>
      <c r="C61" s="6" t="s">
        <v>19</v>
      </c>
      <c r="D61" s="8">
        <v>45728</v>
      </c>
      <c r="E61" s="7">
        <v>0.41666666666666669</v>
      </c>
    </row>
    <row r="62" spans="1:5" ht="13.5" customHeight="1" x14ac:dyDescent="0.3">
      <c r="A62" s="6" t="s">
        <v>13</v>
      </c>
      <c r="B62" s="6" t="s">
        <v>7</v>
      </c>
      <c r="C62" s="6" t="s">
        <v>19</v>
      </c>
      <c r="D62" s="8">
        <v>45728</v>
      </c>
      <c r="E62" s="7">
        <v>0.45833333333333331</v>
      </c>
    </row>
    <row r="63" spans="1:5" ht="13.5" customHeight="1" x14ac:dyDescent="0.3">
      <c r="A63" s="6" t="s">
        <v>13</v>
      </c>
      <c r="B63" s="6" t="s">
        <v>7</v>
      </c>
      <c r="C63" s="6" t="s">
        <v>19</v>
      </c>
      <c r="D63" s="8">
        <v>45728</v>
      </c>
      <c r="E63" s="7">
        <v>0.5</v>
      </c>
    </row>
    <row r="64" spans="1:5" ht="13.5" customHeight="1" x14ac:dyDescent="0.3">
      <c r="A64" s="6" t="s">
        <v>13</v>
      </c>
      <c r="B64" s="6" t="s">
        <v>7</v>
      </c>
      <c r="C64" s="6" t="s">
        <v>19</v>
      </c>
      <c r="D64" s="8">
        <v>45728</v>
      </c>
      <c r="E64" s="7">
        <v>0.54166666666666663</v>
      </c>
    </row>
    <row r="65" spans="1:5" ht="13.5" customHeight="1" x14ac:dyDescent="0.3">
      <c r="A65" s="6" t="s">
        <v>18</v>
      </c>
      <c r="B65" s="6" t="s">
        <v>7</v>
      </c>
      <c r="C65" s="6" t="s">
        <v>19</v>
      </c>
      <c r="D65" s="8">
        <v>45728</v>
      </c>
      <c r="E65" s="7">
        <v>0.39583333333333331</v>
      </c>
    </row>
    <row r="66" spans="1:5" ht="13.5" customHeight="1" x14ac:dyDescent="0.3">
      <c r="A66" s="6" t="s">
        <v>18</v>
      </c>
      <c r="B66" s="6" t="s">
        <v>7</v>
      </c>
      <c r="C66" s="6" t="s">
        <v>19</v>
      </c>
      <c r="D66" s="8">
        <v>45728</v>
      </c>
      <c r="E66" s="7">
        <v>0.4375</v>
      </c>
    </row>
    <row r="67" spans="1:5" ht="13.5" customHeight="1" x14ac:dyDescent="0.3">
      <c r="A67" s="6" t="s">
        <v>18</v>
      </c>
      <c r="B67" s="6" t="s">
        <v>7</v>
      </c>
      <c r="C67" s="6" t="s">
        <v>19</v>
      </c>
      <c r="D67" s="8">
        <v>45728</v>
      </c>
      <c r="E67" s="7">
        <v>0.47916666666666669</v>
      </c>
    </row>
    <row r="68" spans="1:5" ht="13.5" customHeight="1" x14ac:dyDescent="0.3">
      <c r="A68" s="6" t="s">
        <v>18</v>
      </c>
      <c r="B68" s="6" t="s">
        <v>7</v>
      </c>
      <c r="C68" s="6" t="s">
        <v>19</v>
      </c>
      <c r="D68" s="8">
        <v>45728</v>
      </c>
      <c r="E68" s="7">
        <v>0.52083333333333337</v>
      </c>
    </row>
    <row r="69" spans="1:5" ht="13.5" customHeight="1" x14ac:dyDescent="0.3">
      <c r="A69" s="6" t="s">
        <v>22</v>
      </c>
      <c r="B69" s="6" t="s">
        <v>14</v>
      </c>
      <c r="C69" s="6" t="s">
        <v>19</v>
      </c>
      <c r="D69" s="8">
        <v>45728</v>
      </c>
      <c r="E69" s="7">
        <v>0.625</v>
      </c>
    </row>
    <row r="70" spans="1:5" ht="13.5" customHeight="1" x14ac:dyDescent="0.3">
      <c r="A70" s="6" t="s">
        <v>22</v>
      </c>
      <c r="B70" s="6" t="s">
        <v>14</v>
      </c>
      <c r="C70" s="6" t="s">
        <v>19</v>
      </c>
      <c r="D70" s="8">
        <v>45728</v>
      </c>
      <c r="E70" s="7">
        <v>0.66666666666666663</v>
      </c>
    </row>
    <row r="71" spans="1:5" ht="13.5" customHeight="1" x14ac:dyDescent="0.3">
      <c r="A71" s="6" t="s">
        <v>22</v>
      </c>
      <c r="B71" s="6" t="s">
        <v>14</v>
      </c>
      <c r="C71" s="6" t="s">
        <v>19</v>
      </c>
      <c r="D71" s="8">
        <v>45728</v>
      </c>
      <c r="E71" s="7">
        <v>0.70138888888888884</v>
      </c>
    </row>
    <row r="72" spans="1:5" ht="13.5" customHeight="1" x14ac:dyDescent="0.3">
      <c r="A72" s="6" t="s">
        <v>9</v>
      </c>
      <c r="B72" s="6" t="s">
        <v>7</v>
      </c>
      <c r="C72" s="6" t="s">
        <v>20</v>
      </c>
      <c r="D72" s="8">
        <v>45729</v>
      </c>
      <c r="E72" s="7">
        <v>0.4375</v>
      </c>
    </row>
    <row r="73" spans="1:5" ht="13.5" customHeight="1" x14ac:dyDescent="0.3">
      <c r="A73" s="6" t="s">
        <v>9</v>
      </c>
      <c r="B73" s="6" t="s">
        <v>7</v>
      </c>
      <c r="C73" s="6" t="s">
        <v>20</v>
      </c>
      <c r="D73" s="8">
        <v>45729</v>
      </c>
      <c r="E73" s="7">
        <v>0.47916666666666669</v>
      </c>
    </row>
    <row r="74" spans="1:5" ht="13.5" customHeight="1" x14ac:dyDescent="0.3">
      <c r="A74" s="6" t="s">
        <v>9</v>
      </c>
      <c r="B74" s="6" t="s">
        <v>7</v>
      </c>
      <c r="C74" s="6" t="s">
        <v>20</v>
      </c>
      <c r="D74" s="8">
        <v>45729</v>
      </c>
      <c r="E74" s="7">
        <v>0.52083333333333337</v>
      </c>
    </row>
    <row r="75" spans="1:5" ht="13.5" customHeight="1" x14ac:dyDescent="0.3">
      <c r="A75" s="6" t="s">
        <v>9</v>
      </c>
      <c r="B75" s="6" t="s">
        <v>7</v>
      </c>
      <c r="C75" s="6" t="s">
        <v>20</v>
      </c>
      <c r="D75" s="8">
        <v>45729</v>
      </c>
      <c r="E75" s="7">
        <v>0.5625</v>
      </c>
    </row>
    <row r="76" spans="1:5" ht="13.5" customHeight="1" x14ac:dyDescent="0.3">
      <c r="A76" s="6" t="s">
        <v>9</v>
      </c>
      <c r="B76" s="6" t="s">
        <v>7</v>
      </c>
      <c r="C76" s="6" t="s">
        <v>20</v>
      </c>
      <c r="D76" s="8">
        <v>45729</v>
      </c>
      <c r="E76" s="7">
        <v>0.60416666666666663</v>
      </c>
    </row>
    <row r="77" spans="1:5" ht="13.5" customHeight="1" x14ac:dyDescent="0.3">
      <c r="A77" s="6" t="s">
        <v>15</v>
      </c>
      <c r="B77" s="6" t="s">
        <v>43</v>
      </c>
      <c r="C77" s="6" t="s">
        <v>19</v>
      </c>
      <c r="D77" s="8">
        <v>45729</v>
      </c>
      <c r="E77" s="7">
        <v>0.4375</v>
      </c>
    </row>
    <row r="78" spans="1:5" ht="13.5" customHeight="1" x14ac:dyDescent="0.3">
      <c r="A78" s="6" t="s">
        <v>15</v>
      </c>
      <c r="B78" s="6" t="s">
        <v>43</v>
      </c>
      <c r="C78" s="6" t="s">
        <v>19</v>
      </c>
      <c r="D78" s="8">
        <v>45729</v>
      </c>
      <c r="E78" s="7">
        <v>0.47916666666666669</v>
      </c>
    </row>
    <row r="79" spans="1:5" ht="13.5" customHeight="1" x14ac:dyDescent="0.3">
      <c r="A79" s="6" t="s">
        <v>23</v>
      </c>
      <c r="B79" s="6" t="s">
        <v>6</v>
      </c>
      <c r="C79" s="6" t="s">
        <v>19</v>
      </c>
      <c r="D79" s="8">
        <v>45729</v>
      </c>
      <c r="E79" s="7">
        <v>0.45833333333333331</v>
      </c>
    </row>
    <row r="80" spans="1:5" ht="13.5" customHeight="1" x14ac:dyDescent="0.3">
      <c r="A80" s="6" t="s">
        <v>23</v>
      </c>
      <c r="B80" s="6" t="s">
        <v>6</v>
      </c>
      <c r="C80" s="6" t="s">
        <v>19</v>
      </c>
      <c r="D80" s="8">
        <v>45729</v>
      </c>
      <c r="E80" s="7">
        <v>0.5</v>
      </c>
    </row>
    <row r="81" spans="1:5" ht="13.5" customHeight="1" x14ac:dyDescent="0.3">
      <c r="A81" s="6" t="s">
        <v>23</v>
      </c>
      <c r="B81" s="6" t="s">
        <v>6</v>
      </c>
      <c r="C81" s="6" t="s">
        <v>19</v>
      </c>
      <c r="D81" s="8">
        <v>45729</v>
      </c>
      <c r="E81" s="7">
        <v>0.54166666666666663</v>
      </c>
    </row>
    <row r="82" spans="1:5" ht="13.5" customHeight="1" x14ac:dyDescent="0.3">
      <c r="A82" s="6" t="s">
        <v>12</v>
      </c>
      <c r="B82" s="6" t="s">
        <v>7</v>
      </c>
      <c r="C82" s="6" t="s">
        <v>19</v>
      </c>
      <c r="D82" s="8">
        <v>45730</v>
      </c>
      <c r="E82" s="7">
        <v>0.41666666666666669</v>
      </c>
    </row>
    <row r="83" spans="1:5" ht="13.5" customHeight="1" x14ac:dyDescent="0.3">
      <c r="A83" s="6" t="s">
        <v>12</v>
      </c>
      <c r="B83" s="6" t="s">
        <v>7</v>
      </c>
      <c r="C83" s="6" t="s">
        <v>19</v>
      </c>
      <c r="D83" s="8">
        <v>45730</v>
      </c>
      <c r="E83" s="7">
        <v>0.45833333333333331</v>
      </c>
    </row>
    <row r="84" spans="1:5" ht="13.5" customHeight="1" x14ac:dyDescent="0.3">
      <c r="A84" s="6" t="s">
        <v>12</v>
      </c>
      <c r="B84" s="6" t="s">
        <v>7</v>
      </c>
      <c r="C84" s="6" t="s">
        <v>19</v>
      </c>
      <c r="D84" s="8">
        <v>45730</v>
      </c>
      <c r="E84" s="7">
        <v>0.5</v>
      </c>
    </row>
    <row r="85" spans="1:5" ht="13.5" customHeight="1" x14ac:dyDescent="0.3">
      <c r="A85" s="6" t="s">
        <v>3</v>
      </c>
      <c r="B85" s="6" t="s">
        <v>7</v>
      </c>
      <c r="C85" s="6" t="s">
        <v>19</v>
      </c>
      <c r="D85" s="8">
        <v>45730</v>
      </c>
      <c r="E85" s="7">
        <v>0.39583333333333331</v>
      </c>
    </row>
    <row r="86" spans="1:5" ht="13.5" customHeight="1" x14ac:dyDescent="0.3">
      <c r="A86" s="6" t="s">
        <v>3</v>
      </c>
      <c r="B86" s="6" t="s">
        <v>7</v>
      </c>
      <c r="C86" s="6" t="s">
        <v>19</v>
      </c>
      <c r="D86" s="8">
        <v>45730</v>
      </c>
      <c r="E86" s="7">
        <v>0.4375</v>
      </c>
    </row>
    <row r="87" spans="1:5" ht="13.5" customHeight="1" x14ac:dyDescent="0.3">
      <c r="A87" s="6" t="s">
        <v>3</v>
      </c>
      <c r="B87" s="6" t="s">
        <v>7</v>
      </c>
      <c r="C87" s="6" t="s">
        <v>19</v>
      </c>
      <c r="D87" s="8">
        <v>45730</v>
      </c>
      <c r="E87" s="7">
        <v>0.47916666666666669</v>
      </c>
    </row>
    <row r="88" spans="1:5" ht="13.5" customHeight="1" x14ac:dyDescent="0.3">
      <c r="A88" s="6" t="s">
        <v>3</v>
      </c>
      <c r="B88" s="6" t="s">
        <v>7</v>
      </c>
      <c r="C88" s="6" t="s">
        <v>19</v>
      </c>
      <c r="D88" s="8">
        <v>45730</v>
      </c>
      <c r="E88" s="7">
        <v>0.52083333333333337</v>
      </c>
    </row>
    <row r="89" spans="1:5" ht="13.5" customHeight="1" x14ac:dyDescent="0.3">
      <c r="A89" s="6" t="s">
        <v>30</v>
      </c>
      <c r="B89" s="6" t="s">
        <v>7</v>
      </c>
      <c r="C89" s="6" t="s">
        <v>19</v>
      </c>
      <c r="D89" s="8">
        <v>45731</v>
      </c>
      <c r="E89" s="7">
        <v>0.375</v>
      </c>
    </row>
    <row r="90" spans="1:5" ht="13.5" customHeight="1" x14ac:dyDescent="0.3">
      <c r="A90" s="6" t="s">
        <v>30</v>
      </c>
      <c r="B90" s="6" t="s">
        <v>16</v>
      </c>
      <c r="C90" s="6" t="s">
        <v>19</v>
      </c>
      <c r="D90" s="8">
        <v>45731</v>
      </c>
      <c r="E90" s="7">
        <v>0.41666666666666669</v>
      </c>
    </row>
    <row r="91" spans="1:5" ht="13.5" customHeight="1" x14ac:dyDescent="0.3">
      <c r="A91" s="6" t="s">
        <v>10</v>
      </c>
      <c r="B91" s="6" t="s">
        <v>7</v>
      </c>
      <c r="C91" s="6" t="s">
        <v>19</v>
      </c>
      <c r="D91" s="8">
        <v>45731</v>
      </c>
      <c r="E91" s="7">
        <v>0.39583333333333331</v>
      </c>
    </row>
    <row r="92" spans="1:5" ht="13.5" customHeight="1" x14ac:dyDescent="0.3">
      <c r="A92" s="6" t="s">
        <v>10</v>
      </c>
      <c r="B92" s="6" t="s">
        <v>7</v>
      </c>
      <c r="C92" s="6" t="s">
        <v>19</v>
      </c>
      <c r="D92" s="8">
        <v>45731</v>
      </c>
      <c r="E92" s="7">
        <v>0.4375</v>
      </c>
    </row>
    <row r="93" spans="1:5" ht="13.5" customHeight="1" x14ac:dyDescent="0.3">
      <c r="A93" s="6" t="s">
        <v>10</v>
      </c>
      <c r="B93" s="6" t="s">
        <v>7</v>
      </c>
      <c r="C93" s="6" t="s">
        <v>19</v>
      </c>
      <c r="D93" s="8">
        <v>45731</v>
      </c>
      <c r="E93" s="7">
        <v>0.47916666666666669</v>
      </c>
    </row>
    <row r="94" spans="1:5" ht="13.5" customHeight="1" x14ac:dyDescent="0.3">
      <c r="A94" s="6" t="s">
        <v>10</v>
      </c>
      <c r="B94" s="6" t="s">
        <v>7</v>
      </c>
      <c r="C94" s="6" t="s">
        <v>19</v>
      </c>
      <c r="D94" s="8">
        <v>45731</v>
      </c>
      <c r="E94" s="7">
        <v>0.52083333333333337</v>
      </c>
    </row>
    <row r="95" spans="1:5" ht="13.5" customHeight="1" x14ac:dyDescent="0.3">
      <c r="A95" s="6" t="s">
        <v>4</v>
      </c>
      <c r="B95" s="6" t="s">
        <v>7</v>
      </c>
      <c r="C95" s="6" t="s">
        <v>19</v>
      </c>
      <c r="D95" s="8">
        <v>45731</v>
      </c>
      <c r="E95" s="7">
        <v>0.38194444444444442</v>
      </c>
    </row>
    <row r="96" spans="1:5" ht="13.5" customHeight="1" x14ac:dyDescent="0.3">
      <c r="A96" s="6" t="s">
        <v>4</v>
      </c>
      <c r="B96" s="6" t="s">
        <v>6</v>
      </c>
      <c r="C96" s="6" t="s">
        <v>19</v>
      </c>
      <c r="D96" s="8">
        <v>45731</v>
      </c>
      <c r="E96" s="7">
        <v>0.41666666666666669</v>
      </c>
    </row>
    <row r="97" spans="1:5" ht="13.5" customHeight="1" x14ac:dyDescent="0.3">
      <c r="A97" s="6" t="s">
        <v>4</v>
      </c>
      <c r="B97" s="6" t="s">
        <v>7</v>
      </c>
      <c r="C97" s="6" t="s">
        <v>19</v>
      </c>
      <c r="D97" s="8">
        <v>45731</v>
      </c>
      <c r="E97" s="7">
        <v>0.45833333333333331</v>
      </c>
    </row>
    <row r="98" spans="1:5" ht="13.5" customHeight="1" x14ac:dyDescent="0.3">
      <c r="A98" s="6" t="s">
        <v>4</v>
      </c>
      <c r="B98" s="6" t="s">
        <v>7</v>
      </c>
      <c r="C98" s="6" t="s">
        <v>19</v>
      </c>
      <c r="D98" s="8">
        <v>45731</v>
      </c>
      <c r="E98" s="7">
        <v>0.5</v>
      </c>
    </row>
    <row r="99" spans="1:5" ht="13.5" customHeight="1" x14ac:dyDescent="0.3">
      <c r="A99" s="6" t="s">
        <v>3</v>
      </c>
      <c r="B99" s="6" t="s">
        <v>7</v>
      </c>
      <c r="C99" s="6" t="s">
        <v>19</v>
      </c>
      <c r="D99" s="8">
        <v>45731</v>
      </c>
      <c r="E99" s="7">
        <v>0.375</v>
      </c>
    </row>
    <row r="100" spans="1:5" ht="13.5" customHeight="1" x14ac:dyDescent="0.3">
      <c r="A100" s="6" t="s">
        <v>3</v>
      </c>
      <c r="B100" s="6" t="s">
        <v>7</v>
      </c>
      <c r="C100" s="6" t="s">
        <v>19</v>
      </c>
      <c r="D100" s="8">
        <v>45731</v>
      </c>
      <c r="E100" s="7">
        <v>0.41666666666666669</v>
      </c>
    </row>
    <row r="101" spans="1:5" ht="13.5" customHeight="1" x14ac:dyDescent="0.3">
      <c r="A101" s="6" t="s">
        <v>3</v>
      </c>
      <c r="B101" s="6" t="s">
        <v>7</v>
      </c>
      <c r="C101" s="6" t="s">
        <v>19</v>
      </c>
      <c r="D101" s="8">
        <v>45731</v>
      </c>
      <c r="E101" s="7">
        <v>0.45833333333333331</v>
      </c>
    </row>
    <row r="102" spans="1:5" ht="13.5" customHeight="1" x14ac:dyDescent="0.3">
      <c r="A102" s="6" t="s">
        <v>3</v>
      </c>
      <c r="B102" s="6" t="s">
        <v>7</v>
      </c>
      <c r="C102" s="6" t="s">
        <v>19</v>
      </c>
      <c r="D102" s="8">
        <v>45731</v>
      </c>
      <c r="E102" s="7">
        <v>0.5</v>
      </c>
    </row>
    <row r="103" spans="1:5" ht="13.5" customHeight="1" x14ac:dyDescent="0.3">
      <c r="A103" s="6" t="s">
        <v>24</v>
      </c>
      <c r="B103" s="6" t="s">
        <v>16</v>
      </c>
      <c r="C103" s="6" t="s">
        <v>19</v>
      </c>
      <c r="D103" s="8">
        <v>45726</v>
      </c>
      <c r="E103" s="7">
        <v>0.39583333333333331</v>
      </c>
    </row>
    <row r="104" spans="1:5" ht="13.5" customHeight="1" x14ac:dyDescent="0.3">
      <c r="A104" s="6" t="s">
        <v>24</v>
      </c>
      <c r="B104" s="6" t="s">
        <v>16</v>
      </c>
      <c r="C104" s="6" t="s">
        <v>19</v>
      </c>
      <c r="D104" s="8">
        <v>45726</v>
      </c>
      <c r="E104" s="7">
        <v>0.4375</v>
      </c>
    </row>
    <row r="105" spans="1:5" ht="13.5" customHeight="1" x14ac:dyDescent="0.3">
      <c r="A105" s="6" t="s">
        <v>24</v>
      </c>
      <c r="B105" s="6" t="s">
        <v>16</v>
      </c>
      <c r="C105" s="6" t="s">
        <v>20</v>
      </c>
      <c r="D105" s="8">
        <v>45733</v>
      </c>
      <c r="E105" s="7">
        <v>0.41666666666666669</v>
      </c>
    </row>
    <row r="106" spans="1:5" ht="13.5" customHeight="1" x14ac:dyDescent="0.3">
      <c r="A106" s="6" t="s">
        <v>24</v>
      </c>
      <c r="B106" s="6" t="s">
        <v>16</v>
      </c>
      <c r="C106" s="6" t="s">
        <v>20</v>
      </c>
      <c r="D106" s="8">
        <v>45733</v>
      </c>
      <c r="E106" s="7">
        <v>0.45833333333333331</v>
      </c>
    </row>
    <row r="107" spans="1:5" ht="13.5" customHeight="1" x14ac:dyDescent="0.3">
      <c r="A107" s="6" t="s">
        <v>24</v>
      </c>
      <c r="B107" s="6" t="s">
        <v>16</v>
      </c>
      <c r="C107" s="6" t="s">
        <v>20</v>
      </c>
      <c r="D107" s="8">
        <v>45733</v>
      </c>
      <c r="E107" s="7">
        <v>0.5</v>
      </c>
    </row>
    <row r="108" spans="1:5" ht="13.5" customHeight="1" x14ac:dyDescent="0.3">
      <c r="A108" s="6" t="s">
        <v>24</v>
      </c>
      <c r="B108" s="6" t="s">
        <v>7</v>
      </c>
      <c r="C108" s="6" t="s">
        <v>20</v>
      </c>
      <c r="D108" s="8">
        <v>45733</v>
      </c>
      <c r="E108" s="7">
        <v>0.54166666666666663</v>
      </c>
    </row>
    <row r="109" spans="1:5" ht="13.5" customHeight="1" x14ac:dyDescent="0.3">
      <c r="A109" s="6" t="s">
        <v>29</v>
      </c>
      <c r="B109" s="6" t="s">
        <v>6</v>
      </c>
      <c r="C109" s="6" t="s">
        <v>19</v>
      </c>
      <c r="D109" s="8">
        <v>45733</v>
      </c>
      <c r="E109" s="7">
        <v>0.41666666666666669</v>
      </c>
    </row>
    <row r="110" spans="1:5" ht="13.5" customHeight="1" x14ac:dyDescent="0.3">
      <c r="A110" s="6" t="s">
        <v>29</v>
      </c>
      <c r="B110" s="6" t="s">
        <v>6</v>
      </c>
      <c r="C110" s="6" t="s">
        <v>19</v>
      </c>
      <c r="D110" s="8">
        <v>45733</v>
      </c>
      <c r="E110" s="7">
        <v>0.45833333333333331</v>
      </c>
    </row>
    <row r="111" spans="1:5" ht="13.5" customHeight="1" x14ac:dyDescent="0.3">
      <c r="A111" s="6" t="s">
        <v>10</v>
      </c>
      <c r="B111" s="6" t="s">
        <v>7</v>
      </c>
      <c r="C111" s="6" t="s">
        <v>20</v>
      </c>
      <c r="D111" s="8">
        <v>45733</v>
      </c>
      <c r="E111" s="7">
        <v>0.4236111111111111</v>
      </c>
    </row>
    <row r="112" spans="1:5" ht="13.5" customHeight="1" x14ac:dyDescent="0.3">
      <c r="A112" s="6" t="s">
        <v>10</v>
      </c>
      <c r="B112" s="6" t="s">
        <v>7</v>
      </c>
      <c r="C112" s="6" t="s">
        <v>20</v>
      </c>
      <c r="D112" s="8">
        <v>45733</v>
      </c>
      <c r="E112" s="7">
        <v>0.46527777777777779</v>
      </c>
    </row>
    <row r="113" spans="1:5" ht="13.5" customHeight="1" x14ac:dyDescent="0.3">
      <c r="A113" s="6" t="s">
        <v>10</v>
      </c>
      <c r="B113" s="6" t="s">
        <v>7</v>
      </c>
      <c r="C113" s="6" t="s">
        <v>20</v>
      </c>
      <c r="D113" s="8">
        <v>45733</v>
      </c>
      <c r="E113" s="7">
        <v>0.50694444444444442</v>
      </c>
    </row>
    <row r="114" spans="1:5" ht="13.5" customHeight="1" x14ac:dyDescent="0.3">
      <c r="A114" s="6" t="s">
        <v>10</v>
      </c>
      <c r="B114" s="6" t="s">
        <v>7</v>
      </c>
      <c r="C114" s="6" t="s">
        <v>20</v>
      </c>
      <c r="D114" s="8">
        <v>45733</v>
      </c>
      <c r="E114" s="7">
        <v>0.54861111111111116</v>
      </c>
    </row>
    <row r="115" spans="1:5" ht="13.5" customHeight="1" x14ac:dyDescent="0.3">
      <c r="A115" s="6" t="s">
        <v>11</v>
      </c>
      <c r="B115" s="6" t="s">
        <v>7</v>
      </c>
      <c r="C115" s="6" t="s">
        <v>19</v>
      </c>
      <c r="D115" s="8">
        <v>45733</v>
      </c>
      <c r="E115" s="7">
        <v>0.41666666666666669</v>
      </c>
    </row>
    <row r="116" spans="1:5" ht="13.5" customHeight="1" x14ac:dyDescent="0.3">
      <c r="A116" s="6" t="s">
        <v>11</v>
      </c>
      <c r="B116" s="6" t="s">
        <v>7</v>
      </c>
      <c r="C116" s="6" t="s">
        <v>19</v>
      </c>
      <c r="D116" s="8">
        <v>45733</v>
      </c>
      <c r="E116" s="7">
        <v>0.45833333333333331</v>
      </c>
    </row>
    <row r="117" spans="1:5" ht="13.5" customHeight="1" x14ac:dyDescent="0.3">
      <c r="A117" s="6" t="s">
        <v>11</v>
      </c>
      <c r="B117" s="6" t="s">
        <v>7</v>
      </c>
      <c r="C117" s="6" t="s">
        <v>19</v>
      </c>
      <c r="D117" s="8">
        <v>45733</v>
      </c>
      <c r="E117" s="7">
        <v>0.5</v>
      </c>
    </row>
    <row r="118" spans="1:5" ht="13.5" customHeight="1" x14ac:dyDescent="0.3">
      <c r="A118" s="6" t="s">
        <v>4</v>
      </c>
      <c r="B118" s="6" t="s">
        <v>7</v>
      </c>
      <c r="C118" s="6" t="s">
        <v>20</v>
      </c>
      <c r="D118" s="8">
        <v>45734</v>
      </c>
      <c r="E118" s="7">
        <v>0.41666666666666669</v>
      </c>
    </row>
    <row r="119" spans="1:5" ht="13.5" customHeight="1" x14ac:dyDescent="0.3">
      <c r="A119" s="6" t="s">
        <v>4</v>
      </c>
      <c r="B119" s="6" t="s">
        <v>8</v>
      </c>
      <c r="C119" s="6" t="s">
        <v>20</v>
      </c>
      <c r="D119" s="8">
        <v>45734</v>
      </c>
      <c r="E119" s="7">
        <v>0.45833333333333331</v>
      </c>
    </row>
    <row r="120" spans="1:5" ht="13.5" customHeight="1" x14ac:dyDescent="0.3">
      <c r="A120" s="6" t="s">
        <v>4</v>
      </c>
      <c r="B120" s="6" t="s">
        <v>7</v>
      </c>
      <c r="C120" s="6" t="s">
        <v>20</v>
      </c>
      <c r="D120" s="8">
        <v>45734</v>
      </c>
      <c r="E120" s="7">
        <v>0.5</v>
      </c>
    </row>
    <row r="121" spans="1:5" ht="13.5" customHeight="1" x14ac:dyDescent="0.3">
      <c r="A121" s="6" t="s">
        <v>4</v>
      </c>
      <c r="B121" s="6" t="s">
        <v>7</v>
      </c>
      <c r="C121" s="6" t="s">
        <v>20</v>
      </c>
      <c r="D121" s="8">
        <v>45734</v>
      </c>
      <c r="E121" s="7">
        <v>0.58333333333333337</v>
      </c>
    </row>
    <row r="122" spans="1:5" ht="13.5" customHeight="1" x14ac:dyDescent="0.3">
      <c r="A122" s="6" t="s">
        <v>4</v>
      </c>
      <c r="B122" s="6" t="s">
        <v>7</v>
      </c>
      <c r="C122" s="6" t="s">
        <v>20</v>
      </c>
      <c r="D122" s="8">
        <v>45734</v>
      </c>
      <c r="E122" s="7">
        <v>0.625</v>
      </c>
    </row>
    <row r="123" spans="1:5" ht="13.5" customHeight="1" x14ac:dyDescent="0.3">
      <c r="A123" s="6" t="s">
        <v>17</v>
      </c>
      <c r="B123" s="6" t="s">
        <v>7</v>
      </c>
      <c r="C123" s="6" t="s">
        <v>19</v>
      </c>
      <c r="D123" s="8">
        <v>45734</v>
      </c>
      <c r="E123" s="7">
        <v>0.41666666666666669</v>
      </c>
    </row>
    <row r="124" spans="1:5" ht="13.5" customHeight="1" x14ac:dyDescent="0.3">
      <c r="A124" s="6" t="s">
        <v>17</v>
      </c>
      <c r="B124" s="6" t="s">
        <v>7</v>
      </c>
      <c r="C124" s="6" t="s">
        <v>19</v>
      </c>
      <c r="D124" s="8">
        <v>45734</v>
      </c>
      <c r="E124" s="7">
        <v>0.45833333333333331</v>
      </c>
    </row>
    <row r="125" spans="1:5" ht="13.5" customHeight="1" x14ac:dyDescent="0.3">
      <c r="A125" s="6" t="s">
        <v>13</v>
      </c>
      <c r="B125" s="6" t="s">
        <v>7</v>
      </c>
      <c r="C125" s="6" t="s">
        <v>19</v>
      </c>
      <c r="D125" s="8">
        <v>45735</v>
      </c>
      <c r="E125" s="7">
        <v>0.41666666666666669</v>
      </c>
    </row>
    <row r="126" spans="1:5" ht="13.5" customHeight="1" x14ac:dyDescent="0.3">
      <c r="A126" s="6" t="s">
        <v>13</v>
      </c>
      <c r="B126" s="6" t="s">
        <v>7</v>
      </c>
      <c r="C126" s="6" t="s">
        <v>19</v>
      </c>
      <c r="D126" s="8">
        <v>45735</v>
      </c>
      <c r="E126" s="7">
        <v>0.45833333333333331</v>
      </c>
    </row>
    <row r="127" spans="1:5" ht="13.5" customHeight="1" x14ac:dyDescent="0.3">
      <c r="A127" s="6" t="s">
        <v>18</v>
      </c>
      <c r="B127" s="6" t="s">
        <v>8</v>
      </c>
      <c r="C127" s="6" t="s">
        <v>19</v>
      </c>
      <c r="D127" s="8">
        <v>45735</v>
      </c>
      <c r="E127" s="7">
        <v>0.4375</v>
      </c>
    </row>
    <row r="128" spans="1:5" ht="13.5" customHeight="1" x14ac:dyDescent="0.3">
      <c r="A128" s="6" t="s">
        <v>18</v>
      </c>
      <c r="B128" s="6" t="s">
        <v>7</v>
      </c>
      <c r="C128" s="6" t="s">
        <v>19</v>
      </c>
      <c r="D128" s="8">
        <v>45735</v>
      </c>
      <c r="E128" s="7">
        <v>0.47916666666666669</v>
      </c>
    </row>
    <row r="129" spans="1:5" ht="13.5" customHeight="1" x14ac:dyDescent="0.3">
      <c r="A129" s="6" t="s">
        <v>9</v>
      </c>
      <c r="B129" s="6" t="s">
        <v>7</v>
      </c>
      <c r="C129" s="6" t="s">
        <v>20</v>
      </c>
      <c r="D129" s="8">
        <v>45736</v>
      </c>
      <c r="E129" s="7">
        <v>0.4375</v>
      </c>
    </row>
    <row r="130" spans="1:5" ht="13.5" customHeight="1" x14ac:dyDescent="0.3">
      <c r="A130" s="6" t="s">
        <v>9</v>
      </c>
      <c r="B130" s="6" t="s">
        <v>7</v>
      </c>
      <c r="C130" s="6" t="s">
        <v>20</v>
      </c>
      <c r="D130" s="8">
        <v>45736</v>
      </c>
      <c r="E130" s="7">
        <v>0.47916666666666669</v>
      </c>
    </row>
    <row r="131" spans="1:5" ht="13.5" customHeight="1" x14ac:dyDescent="0.3">
      <c r="A131" s="6" t="s">
        <v>9</v>
      </c>
      <c r="B131" s="6" t="s">
        <v>7</v>
      </c>
      <c r="C131" s="6" t="s">
        <v>20</v>
      </c>
      <c r="D131" s="8">
        <v>45736</v>
      </c>
      <c r="E131" s="7">
        <v>0.52083333333333337</v>
      </c>
    </row>
    <row r="132" spans="1:5" ht="13.5" customHeight="1" x14ac:dyDescent="0.3">
      <c r="A132" s="6" t="s">
        <v>9</v>
      </c>
      <c r="B132" s="6" t="s">
        <v>7</v>
      </c>
      <c r="C132" s="6" t="s">
        <v>20</v>
      </c>
      <c r="D132" s="8">
        <v>45736</v>
      </c>
      <c r="E132" s="7">
        <v>0.5625</v>
      </c>
    </row>
    <row r="133" spans="1:5" ht="13.5" customHeight="1" x14ac:dyDescent="0.3">
      <c r="A133" s="6" t="s">
        <v>15</v>
      </c>
      <c r="B133" s="6" t="s">
        <v>43</v>
      </c>
      <c r="C133" s="6" t="s">
        <v>19</v>
      </c>
      <c r="D133" s="8">
        <v>45736</v>
      </c>
      <c r="E133" s="7">
        <v>0.4375</v>
      </c>
    </row>
    <row r="134" spans="1:5" ht="13.5" customHeight="1" x14ac:dyDescent="0.3">
      <c r="A134" s="6" t="s">
        <v>15</v>
      </c>
      <c r="B134" s="6" t="s">
        <v>43</v>
      </c>
      <c r="C134" s="6" t="s">
        <v>19</v>
      </c>
      <c r="D134" s="8">
        <v>45736</v>
      </c>
      <c r="E134" s="7">
        <v>0.47916666666666669</v>
      </c>
    </row>
    <row r="135" spans="1:5" ht="13.5" customHeight="1" x14ac:dyDescent="0.3">
      <c r="A135" s="6" t="s">
        <v>23</v>
      </c>
      <c r="B135" s="6" t="s">
        <v>6</v>
      </c>
      <c r="C135" s="6" t="s">
        <v>19</v>
      </c>
      <c r="D135" s="8">
        <v>45736</v>
      </c>
      <c r="E135" s="7">
        <v>0.41666666666666669</v>
      </c>
    </row>
    <row r="136" spans="1:5" ht="13.5" customHeight="1" x14ac:dyDescent="0.3">
      <c r="A136" s="6" t="s">
        <v>23</v>
      </c>
      <c r="B136" s="6" t="s">
        <v>6</v>
      </c>
      <c r="C136" s="6" t="s">
        <v>19</v>
      </c>
      <c r="D136" s="8">
        <v>45736</v>
      </c>
      <c r="E136" s="7">
        <v>0.45833333333333331</v>
      </c>
    </row>
    <row r="137" spans="1:5" ht="13.5" customHeight="1" x14ac:dyDescent="0.3">
      <c r="A137" s="6" t="s">
        <v>23</v>
      </c>
      <c r="B137" s="6" t="s">
        <v>6</v>
      </c>
      <c r="C137" s="6" t="s">
        <v>19</v>
      </c>
      <c r="D137" s="8">
        <v>45736</v>
      </c>
      <c r="E137" s="7">
        <v>0.5</v>
      </c>
    </row>
    <row r="138" spans="1:5" ht="13.5" customHeight="1" x14ac:dyDescent="0.3">
      <c r="A138" s="6" t="s">
        <v>23</v>
      </c>
      <c r="B138" s="6" t="s">
        <v>6</v>
      </c>
      <c r="C138" s="6" t="s">
        <v>19</v>
      </c>
      <c r="D138" s="8">
        <v>45736</v>
      </c>
      <c r="E138" s="7">
        <v>0.54166666666666663</v>
      </c>
    </row>
    <row r="139" spans="1:5" ht="13.5" customHeight="1" x14ac:dyDescent="0.3">
      <c r="A139" s="6" t="s">
        <v>23</v>
      </c>
      <c r="B139" s="6" t="s">
        <v>6</v>
      </c>
      <c r="C139" s="6" t="s">
        <v>19</v>
      </c>
      <c r="D139" s="8">
        <v>45736</v>
      </c>
      <c r="E139" s="7">
        <v>0.58333333333333337</v>
      </c>
    </row>
    <row r="140" spans="1:5" ht="13.5" customHeight="1" x14ac:dyDescent="0.3">
      <c r="A140" s="6" t="s">
        <v>31</v>
      </c>
      <c r="B140" s="6" t="s">
        <v>14</v>
      </c>
      <c r="C140" s="6" t="s">
        <v>19</v>
      </c>
      <c r="D140" s="8">
        <v>45736</v>
      </c>
      <c r="E140" s="7">
        <v>0.41666666666666669</v>
      </c>
    </row>
    <row r="141" spans="1:5" ht="13.5" customHeight="1" x14ac:dyDescent="0.3">
      <c r="A141" s="6" t="s">
        <v>31</v>
      </c>
      <c r="B141" s="6" t="s">
        <v>14</v>
      </c>
      <c r="C141" s="6" t="s">
        <v>19</v>
      </c>
      <c r="D141" s="8">
        <v>45736</v>
      </c>
      <c r="E141" s="7">
        <v>0.45833333333333331</v>
      </c>
    </row>
    <row r="142" spans="1:5" ht="13.5" customHeight="1" x14ac:dyDescent="0.3">
      <c r="A142" s="6" t="s">
        <v>31</v>
      </c>
      <c r="B142" s="6" t="s">
        <v>14</v>
      </c>
      <c r="C142" s="6" t="s">
        <v>19</v>
      </c>
      <c r="D142" s="8">
        <v>45736</v>
      </c>
      <c r="E142" s="7">
        <v>0.5</v>
      </c>
    </row>
    <row r="143" spans="1:5" ht="13.5" customHeight="1" x14ac:dyDescent="0.3">
      <c r="A143" s="6" t="s">
        <v>12</v>
      </c>
      <c r="B143" s="6" t="s">
        <v>7</v>
      </c>
      <c r="C143" s="6" t="s">
        <v>19</v>
      </c>
      <c r="D143" s="8">
        <v>45737</v>
      </c>
      <c r="E143" s="7">
        <v>0.41666666666666669</v>
      </c>
    </row>
    <row r="144" spans="1:5" ht="13.5" customHeight="1" x14ac:dyDescent="0.3">
      <c r="A144" s="6" t="s">
        <v>12</v>
      </c>
      <c r="B144" s="6" t="s">
        <v>7</v>
      </c>
      <c r="C144" s="6" t="s">
        <v>19</v>
      </c>
      <c r="D144" s="8">
        <v>45737</v>
      </c>
      <c r="E144" s="7">
        <v>0.45833333333333331</v>
      </c>
    </row>
    <row r="145" spans="1:5" ht="13.5" customHeight="1" x14ac:dyDescent="0.3">
      <c r="A145" s="6" t="s">
        <v>12</v>
      </c>
      <c r="B145" s="6" t="s">
        <v>7</v>
      </c>
      <c r="C145" s="6" t="s">
        <v>19</v>
      </c>
      <c r="D145" s="8">
        <v>45737</v>
      </c>
      <c r="E145" s="7">
        <v>0.5</v>
      </c>
    </row>
    <row r="146" spans="1:5" ht="13.5" customHeight="1" x14ac:dyDescent="0.3">
      <c r="A146" s="6" t="s">
        <v>3</v>
      </c>
      <c r="B146" s="6" t="s">
        <v>7</v>
      </c>
      <c r="C146" s="6" t="s">
        <v>19</v>
      </c>
      <c r="D146" s="8">
        <v>45737</v>
      </c>
      <c r="E146" s="7">
        <v>0.39583333333333331</v>
      </c>
    </row>
    <row r="147" spans="1:5" ht="13.5" customHeight="1" x14ac:dyDescent="0.3">
      <c r="A147" s="6" t="s">
        <v>3</v>
      </c>
      <c r="B147" s="6" t="s">
        <v>7</v>
      </c>
      <c r="C147" s="6" t="s">
        <v>19</v>
      </c>
      <c r="D147" s="8">
        <v>45737</v>
      </c>
      <c r="E147" s="7">
        <v>0.4375</v>
      </c>
    </row>
    <row r="148" spans="1:5" ht="13.5" customHeight="1" x14ac:dyDescent="0.3">
      <c r="A148" s="6" t="s">
        <v>3</v>
      </c>
      <c r="B148" s="6" t="s">
        <v>7</v>
      </c>
      <c r="C148" s="6" t="s">
        <v>19</v>
      </c>
      <c r="D148" s="8">
        <v>45737</v>
      </c>
      <c r="E148" s="7">
        <v>0.47916666666666669</v>
      </c>
    </row>
    <row r="149" spans="1:5" ht="13.5" customHeight="1" x14ac:dyDescent="0.3">
      <c r="A149" s="6" t="s">
        <v>30</v>
      </c>
      <c r="B149" s="6" t="s">
        <v>16</v>
      </c>
      <c r="C149" s="6" t="s">
        <v>19</v>
      </c>
      <c r="D149" s="8">
        <v>45738</v>
      </c>
      <c r="E149" s="7">
        <v>0.375</v>
      </c>
    </row>
    <row r="150" spans="1:5" ht="13.5" customHeight="1" x14ac:dyDescent="0.3">
      <c r="A150" s="6" t="s">
        <v>30</v>
      </c>
      <c r="B150" s="6" t="s">
        <v>16</v>
      </c>
      <c r="C150" s="6" t="s">
        <v>19</v>
      </c>
      <c r="D150" s="8">
        <v>45738</v>
      </c>
      <c r="E150" s="7">
        <v>0.41666666666666669</v>
      </c>
    </row>
    <row r="151" spans="1:5" ht="13.5" customHeight="1" x14ac:dyDescent="0.3">
      <c r="A151" s="6" t="s">
        <v>10</v>
      </c>
      <c r="B151" s="6" t="s">
        <v>7</v>
      </c>
      <c r="C151" s="6" t="s">
        <v>19</v>
      </c>
      <c r="D151" s="8">
        <v>45738</v>
      </c>
      <c r="E151" s="7">
        <v>0.39583333333333331</v>
      </c>
    </row>
    <row r="152" spans="1:5" ht="13.5" customHeight="1" x14ac:dyDescent="0.3">
      <c r="A152" s="6" t="s">
        <v>10</v>
      </c>
      <c r="B152" s="6" t="s">
        <v>7</v>
      </c>
      <c r="C152" s="6" t="s">
        <v>19</v>
      </c>
      <c r="D152" s="8">
        <v>45738</v>
      </c>
      <c r="E152" s="7">
        <v>0.4375</v>
      </c>
    </row>
    <row r="153" spans="1:5" ht="13.5" customHeight="1" x14ac:dyDescent="0.3">
      <c r="A153" s="6" t="s">
        <v>4</v>
      </c>
      <c r="B153" s="6" t="s">
        <v>7</v>
      </c>
      <c r="C153" s="6" t="s">
        <v>19</v>
      </c>
      <c r="D153" s="8">
        <v>45738</v>
      </c>
      <c r="E153" s="7">
        <v>0.41666666666666669</v>
      </c>
    </row>
    <row r="154" spans="1:5" ht="13.5" customHeight="1" x14ac:dyDescent="0.3">
      <c r="A154" s="6" t="s">
        <v>4</v>
      </c>
      <c r="B154" s="6" t="s">
        <v>7</v>
      </c>
      <c r="C154" s="6" t="s">
        <v>19</v>
      </c>
      <c r="D154" s="8">
        <v>45738</v>
      </c>
      <c r="E154" s="7">
        <v>0.45833333333333331</v>
      </c>
    </row>
    <row r="155" spans="1:5" ht="13.5" customHeight="1" x14ac:dyDescent="0.3">
      <c r="A155" s="6" t="s">
        <v>3</v>
      </c>
      <c r="B155" s="6" t="s">
        <v>7</v>
      </c>
      <c r="C155" s="6" t="s">
        <v>19</v>
      </c>
      <c r="D155" s="8">
        <v>45738</v>
      </c>
      <c r="E155" s="7">
        <v>0.375</v>
      </c>
    </row>
    <row r="156" spans="1:5" ht="13.5" customHeight="1" x14ac:dyDescent="0.3">
      <c r="A156" s="6" t="s">
        <v>3</v>
      </c>
      <c r="B156" s="6" t="s">
        <v>7</v>
      </c>
      <c r="C156" s="6" t="s">
        <v>19</v>
      </c>
      <c r="D156" s="8">
        <v>45738</v>
      </c>
      <c r="E156" s="7">
        <v>0.41666666666666669</v>
      </c>
    </row>
    <row r="157" spans="1:5" ht="13.5" customHeight="1" x14ac:dyDescent="0.3">
      <c r="A157" s="6" t="s">
        <v>24</v>
      </c>
      <c r="B157" s="6" t="s">
        <v>16</v>
      </c>
      <c r="C157" s="6" t="s">
        <v>19</v>
      </c>
      <c r="D157" s="8">
        <v>45738</v>
      </c>
      <c r="E157" s="7">
        <v>0.39583333333333331</v>
      </c>
    </row>
    <row r="158" spans="1:5" ht="13.5" customHeight="1" x14ac:dyDescent="0.3">
      <c r="A158" s="6" t="s">
        <v>24</v>
      </c>
      <c r="B158" s="6" t="s">
        <v>16</v>
      </c>
      <c r="C158" s="6" t="s">
        <v>19</v>
      </c>
      <c r="D158" s="8">
        <v>45738</v>
      </c>
      <c r="E158" s="7">
        <v>0.4375</v>
      </c>
    </row>
    <row r="159" spans="1:5" ht="13.5" customHeight="1" x14ac:dyDescent="0.3">
      <c r="A159" s="6" t="s">
        <v>24</v>
      </c>
      <c r="B159" s="6" t="s">
        <v>16</v>
      </c>
      <c r="C159" s="6" t="s">
        <v>20</v>
      </c>
      <c r="D159" s="8">
        <v>45740</v>
      </c>
      <c r="E159" s="7">
        <v>0.41666666666666669</v>
      </c>
    </row>
    <row r="160" spans="1:5" ht="13.5" customHeight="1" x14ac:dyDescent="0.3">
      <c r="A160" s="6" t="s">
        <v>24</v>
      </c>
      <c r="B160" s="6" t="s">
        <v>16</v>
      </c>
      <c r="C160" s="6" t="s">
        <v>20</v>
      </c>
      <c r="D160" s="8">
        <v>45740</v>
      </c>
      <c r="E160" s="7">
        <v>0.45833333333333331</v>
      </c>
    </row>
    <row r="161" spans="1:5" ht="13.5" customHeight="1" x14ac:dyDescent="0.3">
      <c r="A161" s="6" t="s">
        <v>24</v>
      </c>
      <c r="B161" s="6" t="s">
        <v>16</v>
      </c>
      <c r="C161" s="6" t="s">
        <v>20</v>
      </c>
      <c r="D161" s="8">
        <v>45740</v>
      </c>
      <c r="E161" s="7">
        <v>0.5</v>
      </c>
    </row>
    <row r="162" spans="1:5" ht="13.5" customHeight="1" x14ac:dyDescent="0.3">
      <c r="A162" s="6" t="s">
        <v>24</v>
      </c>
      <c r="B162" s="6" t="s">
        <v>16</v>
      </c>
      <c r="C162" s="6" t="s">
        <v>20</v>
      </c>
      <c r="D162" s="8">
        <v>45740</v>
      </c>
      <c r="E162" s="7">
        <v>0.54166666666666663</v>
      </c>
    </row>
    <row r="163" spans="1:5" ht="13.5" customHeight="1" x14ac:dyDescent="0.3">
      <c r="A163" s="6" t="s">
        <v>29</v>
      </c>
      <c r="B163" s="6" t="s">
        <v>6</v>
      </c>
      <c r="C163" s="6" t="s">
        <v>19</v>
      </c>
      <c r="D163" s="8">
        <v>45740</v>
      </c>
      <c r="E163" s="7">
        <v>0.41666666666666669</v>
      </c>
    </row>
    <row r="164" spans="1:5" ht="13.5" customHeight="1" x14ac:dyDescent="0.3">
      <c r="A164" s="6" t="s">
        <v>29</v>
      </c>
      <c r="B164" s="6" t="s">
        <v>6</v>
      </c>
      <c r="C164" s="6" t="s">
        <v>19</v>
      </c>
      <c r="D164" s="8">
        <v>45740</v>
      </c>
      <c r="E164" s="7">
        <v>0.45833333333333331</v>
      </c>
    </row>
    <row r="165" spans="1:5" ht="13.5" customHeight="1" x14ac:dyDescent="0.3">
      <c r="A165" s="6" t="s">
        <v>10</v>
      </c>
      <c r="B165" s="6" t="s">
        <v>7</v>
      </c>
      <c r="C165" s="6" t="s">
        <v>20</v>
      </c>
      <c r="D165" s="8">
        <v>45740</v>
      </c>
      <c r="E165" s="7">
        <v>0.4236111111111111</v>
      </c>
    </row>
    <row r="166" spans="1:5" ht="13.5" customHeight="1" x14ac:dyDescent="0.3">
      <c r="A166" s="6" t="s">
        <v>10</v>
      </c>
      <c r="B166" s="6" t="s">
        <v>7</v>
      </c>
      <c r="C166" s="6" t="s">
        <v>20</v>
      </c>
      <c r="D166" s="8">
        <v>45740</v>
      </c>
      <c r="E166" s="7">
        <v>0.46527777777777779</v>
      </c>
    </row>
    <row r="167" spans="1:5" ht="13.5" customHeight="1" x14ac:dyDescent="0.3">
      <c r="A167" s="6" t="s">
        <v>10</v>
      </c>
      <c r="B167" s="6" t="s">
        <v>7</v>
      </c>
      <c r="C167" s="6" t="s">
        <v>20</v>
      </c>
      <c r="D167" s="8">
        <v>45740</v>
      </c>
      <c r="E167" s="7">
        <v>0.50694444444444442</v>
      </c>
    </row>
    <row r="168" spans="1:5" ht="13.5" customHeight="1" x14ac:dyDescent="0.3">
      <c r="A168" s="6" t="s">
        <v>10</v>
      </c>
      <c r="B168" s="6" t="s">
        <v>7</v>
      </c>
      <c r="C168" s="6" t="s">
        <v>20</v>
      </c>
      <c r="D168" s="8">
        <v>45740</v>
      </c>
      <c r="E168" s="7">
        <v>0.54861111111111116</v>
      </c>
    </row>
    <row r="169" spans="1:5" ht="13.5" customHeight="1" x14ac:dyDescent="0.3">
      <c r="A169" s="6" t="s">
        <v>11</v>
      </c>
      <c r="B169" s="6" t="s">
        <v>7</v>
      </c>
      <c r="C169" s="6" t="s">
        <v>19</v>
      </c>
      <c r="D169" s="8">
        <v>45740</v>
      </c>
      <c r="E169" s="7">
        <v>0.41666666666666669</v>
      </c>
    </row>
    <row r="170" spans="1:5" ht="13.5" customHeight="1" x14ac:dyDescent="0.3">
      <c r="A170" s="6" t="s">
        <v>11</v>
      </c>
      <c r="B170" s="6" t="s">
        <v>7</v>
      </c>
      <c r="C170" s="6" t="s">
        <v>19</v>
      </c>
      <c r="D170" s="8">
        <v>45740</v>
      </c>
      <c r="E170" s="7">
        <v>0.45833333333333331</v>
      </c>
    </row>
    <row r="171" spans="1:5" ht="13.5" customHeight="1" x14ac:dyDescent="0.3">
      <c r="A171" s="6" t="s">
        <v>11</v>
      </c>
      <c r="B171" s="6" t="s">
        <v>7</v>
      </c>
      <c r="C171" s="6" t="s">
        <v>19</v>
      </c>
      <c r="D171" s="8">
        <v>45740</v>
      </c>
      <c r="E171" s="7">
        <v>0.5</v>
      </c>
    </row>
    <row r="172" spans="1:5" ht="13.5" customHeight="1" x14ac:dyDescent="0.3">
      <c r="A172" s="6" t="s">
        <v>4</v>
      </c>
      <c r="B172" s="6" t="s">
        <v>7</v>
      </c>
      <c r="C172" s="6" t="s">
        <v>20</v>
      </c>
      <c r="D172" s="8">
        <v>45741</v>
      </c>
      <c r="E172" s="7">
        <v>0.45833333333333331</v>
      </c>
    </row>
    <row r="173" spans="1:5" ht="13.5" customHeight="1" x14ac:dyDescent="0.3">
      <c r="A173" s="6" t="s">
        <v>4</v>
      </c>
      <c r="B173" s="6" t="s">
        <v>7</v>
      </c>
      <c r="C173" s="6" t="s">
        <v>20</v>
      </c>
      <c r="D173" s="8">
        <v>45741</v>
      </c>
      <c r="E173" s="7">
        <v>0.5</v>
      </c>
    </row>
    <row r="174" spans="1:5" ht="13.5" customHeight="1" x14ac:dyDescent="0.3">
      <c r="A174" s="6" t="s">
        <v>4</v>
      </c>
      <c r="B174" s="6" t="s">
        <v>7</v>
      </c>
      <c r="C174" s="6" t="s">
        <v>20</v>
      </c>
      <c r="D174" s="8">
        <v>45741</v>
      </c>
      <c r="E174" s="7">
        <v>0.58333333333333337</v>
      </c>
    </row>
    <row r="175" spans="1:5" ht="13.5" customHeight="1" x14ac:dyDescent="0.3">
      <c r="A175" s="6" t="s">
        <v>4</v>
      </c>
      <c r="B175" s="6" t="s">
        <v>7</v>
      </c>
      <c r="C175" s="6" t="s">
        <v>20</v>
      </c>
      <c r="D175" s="8">
        <v>45741</v>
      </c>
      <c r="E175" s="7">
        <v>0.625</v>
      </c>
    </row>
    <row r="176" spans="1:5" ht="13.5" customHeight="1" x14ac:dyDescent="0.3">
      <c r="A176" s="6" t="s">
        <v>17</v>
      </c>
      <c r="B176" s="6" t="s">
        <v>7</v>
      </c>
      <c r="C176" s="6" t="s">
        <v>19</v>
      </c>
      <c r="D176" s="8">
        <v>45741</v>
      </c>
      <c r="E176" s="7">
        <v>0.41666666666666669</v>
      </c>
    </row>
    <row r="177" spans="1:5" ht="13.5" customHeight="1" x14ac:dyDescent="0.3">
      <c r="A177" s="6" t="s">
        <v>17</v>
      </c>
      <c r="B177" s="6" t="s">
        <v>7</v>
      </c>
      <c r="C177" s="6" t="s">
        <v>19</v>
      </c>
      <c r="D177" s="8">
        <v>45741</v>
      </c>
      <c r="E177" s="7">
        <v>0.45833333333333331</v>
      </c>
    </row>
    <row r="178" spans="1:5" ht="13.5" customHeight="1" x14ac:dyDescent="0.3">
      <c r="A178" s="6" t="s">
        <v>18</v>
      </c>
      <c r="B178" s="6" t="s">
        <v>7</v>
      </c>
      <c r="C178" s="6" t="s">
        <v>19</v>
      </c>
      <c r="D178" s="8">
        <v>45742</v>
      </c>
      <c r="E178" s="7">
        <v>0.4375</v>
      </c>
    </row>
    <row r="179" spans="1:5" ht="13.5" customHeight="1" x14ac:dyDescent="0.3">
      <c r="A179" s="6" t="s">
        <v>18</v>
      </c>
      <c r="B179" s="6" t="s">
        <v>7</v>
      </c>
      <c r="C179" s="6" t="s">
        <v>19</v>
      </c>
      <c r="D179" s="8">
        <v>45742</v>
      </c>
      <c r="E179" s="7">
        <v>0.47916666666666669</v>
      </c>
    </row>
    <row r="180" spans="1:5" ht="13.5" customHeight="1" x14ac:dyDescent="0.3">
      <c r="A180" s="6" t="s">
        <v>22</v>
      </c>
      <c r="B180" s="6" t="s">
        <v>14</v>
      </c>
      <c r="C180" s="6" t="s">
        <v>19</v>
      </c>
      <c r="D180" s="8">
        <v>45742</v>
      </c>
      <c r="E180" s="7">
        <v>0.625</v>
      </c>
    </row>
    <row r="181" spans="1:5" ht="13.5" customHeight="1" x14ac:dyDescent="0.3">
      <c r="A181" s="6" t="s">
        <v>22</v>
      </c>
      <c r="B181" s="6" t="s">
        <v>14</v>
      </c>
      <c r="C181" s="6" t="s">
        <v>19</v>
      </c>
      <c r="D181" s="8">
        <v>45742</v>
      </c>
      <c r="E181" s="7">
        <v>0.66666666666666663</v>
      </c>
    </row>
    <row r="182" spans="1:5" ht="13.5" customHeight="1" x14ac:dyDescent="0.3">
      <c r="A182" s="6" t="s">
        <v>9</v>
      </c>
      <c r="B182" s="6" t="s">
        <v>7</v>
      </c>
      <c r="C182" s="6" t="s">
        <v>20</v>
      </c>
      <c r="D182" s="8">
        <v>45743</v>
      </c>
      <c r="E182" s="7">
        <v>0.4375</v>
      </c>
    </row>
    <row r="183" spans="1:5" ht="13.5" customHeight="1" x14ac:dyDescent="0.3">
      <c r="A183" s="6" t="s">
        <v>9</v>
      </c>
      <c r="B183" s="6" t="s">
        <v>7</v>
      </c>
      <c r="C183" s="6" t="s">
        <v>20</v>
      </c>
      <c r="D183" s="8">
        <v>45743</v>
      </c>
      <c r="E183" s="7">
        <v>0.47916666666666669</v>
      </c>
    </row>
    <row r="184" spans="1:5" ht="13.5" customHeight="1" x14ac:dyDescent="0.3">
      <c r="A184" s="6" t="s">
        <v>9</v>
      </c>
      <c r="B184" s="6" t="s">
        <v>7</v>
      </c>
      <c r="C184" s="6" t="s">
        <v>20</v>
      </c>
      <c r="D184" s="8">
        <v>45743</v>
      </c>
      <c r="E184" s="7">
        <v>0.52083333333333337</v>
      </c>
    </row>
    <row r="185" spans="1:5" ht="13.5" customHeight="1" x14ac:dyDescent="0.3">
      <c r="A185" s="6" t="s">
        <v>9</v>
      </c>
      <c r="B185" s="6" t="s">
        <v>7</v>
      </c>
      <c r="C185" s="6" t="s">
        <v>20</v>
      </c>
      <c r="D185" s="8">
        <v>45743</v>
      </c>
      <c r="E185" s="7">
        <v>0.5625</v>
      </c>
    </row>
    <row r="186" spans="1:5" ht="13.5" customHeight="1" x14ac:dyDescent="0.3">
      <c r="A186" s="6" t="s">
        <v>15</v>
      </c>
      <c r="B186" s="6" t="s">
        <v>43</v>
      </c>
      <c r="C186" s="6" t="s">
        <v>19</v>
      </c>
      <c r="D186" s="8">
        <v>45743</v>
      </c>
      <c r="E186" s="7">
        <v>0.4375</v>
      </c>
    </row>
    <row r="187" spans="1:5" ht="13.5" customHeight="1" x14ac:dyDescent="0.3">
      <c r="A187" s="6" t="s">
        <v>15</v>
      </c>
      <c r="B187" s="6" t="s">
        <v>43</v>
      </c>
      <c r="C187" s="6" t="s">
        <v>19</v>
      </c>
      <c r="D187" s="8">
        <v>45743</v>
      </c>
      <c r="E187" s="7">
        <v>0.47916666666666669</v>
      </c>
    </row>
    <row r="188" spans="1:5" ht="13.5" customHeight="1" x14ac:dyDescent="0.3">
      <c r="A188" s="6" t="s">
        <v>23</v>
      </c>
      <c r="B188" s="6" t="s">
        <v>6</v>
      </c>
      <c r="C188" s="6" t="s">
        <v>19</v>
      </c>
      <c r="D188" s="8">
        <v>45743</v>
      </c>
      <c r="E188" s="7">
        <v>0.45833333333333331</v>
      </c>
    </row>
    <row r="189" spans="1:5" ht="13.5" customHeight="1" x14ac:dyDescent="0.3">
      <c r="A189" s="6" t="s">
        <v>23</v>
      </c>
      <c r="B189" s="6" t="s">
        <v>6</v>
      </c>
      <c r="C189" s="6" t="s">
        <v>19</v>
      </c>
      <c r="D189" s="8">
        <v>45743</v>
      </c>
      <c r="E189" s="7">
        <v>0.5</v>
      </c>
    </row>
    <row r="190" spans="1:5" ht="13.5" customHeight="1" x14ac:dyDescent="0.3">
      <c r="A190" s="6" t="s">
        <v>23</v>
      </c>
      <c r="B190" s="6" t="s">
        <v>6</v>
      </c>
      <c r="C190" s="6" t="s">
        <v>19</v>
      </c>
      <c r="D190" s="8">
        <v>45743</v>
      </c>
      <c r="E190" s="7">
        <v>0.54166666666666663</v>
      </c>
    </row>
    <row r="191" spans="1:5" ht="13.5" customHeight="1" x14ac:dyDescent="0.3">
      <c r="A191" s="6" t="s">
        <v>12</v>
      </c>
      <c r="B191" s="6" t="s">
        <v>7</v>
      </c>
      <c r="C191" s="6" t="s">
        <v>19</v>
      </c>
      <c r="D191" s="8">
        <v>45744</v>
      </c>
      <c r="E191" s="7">
        <v>0.41666666666666669</v>
      </c>
    </row>
    <row r="192" spans="1:5" ht="13.5" customHeight="1" x14ac:dyDescent="0.3">
      <c r="A192" s="6" t="s">
        <v>12</v>
      </c>
      <c r="B192" s="6" t="s">
        <v>7</v>
      </c>
      <c r="C192" s="6" t="s">
        <v>19</v>
      </c>
      <c r="D192" s="8">
        <v>45744</v>
      </c>
      <c r="E192" s="7">
        <v>0.45833333333333331</v>
      </c>
    </row>
    <row r="193" spans="1:5" ht="13.5" customHeight="1" x14ac:dyDescent="0.3">
      <c r="A193" s="6" t="s">
        <v>12</v>
      </c>
      <c r="B193" s="6" t="s">
        <v>7</v>
      </c>
      <c r="C193" s="6" t="s">
        <v>19</v>
      </c>
      <c r="D193" s="8">
        <v>45744</v>
      </c>
      <c r="E193" s="7">
        <v>0.5</v>
      </c>
    </row>
    <row r="194" spans="1:5" ht="13.5" customHeight="1" x14ac:dyDescent="0.3">
      <c r="A194" s="6" t="s">
        <v>3</v>
      </c>
      <c r="B194" s="6" t="s">
        <v>7</v>
      </c>
      <c r="C194" s="6" t="s">
        <v>19</v>
      </c>
      <c r="D194" s="8">
        <v>45744</v>
      </c>
      <c r="E194" s="7">
        <v>0.39583333333333331</v>
      </c>
    </row>
    <row r="195" spans="1:5" ht="13.5" customHeight="1" x14ac:dyDescent="0.3">
      <c r="A195" s="6" t="s">
        <v>3</v>
      </c>
      <c r="B195" s="6" t="s">
        <v>7</v>
      </c>
      <c r="C195" s="6" t="s">
        <v>19</v>
      </c>
      <c r="D195" s="8">
        <v>45744</v>
      </c>
      <c r="E195" s="7">
        <v>0.4375</v>
      </c>
    </row>
    <row r="196" spans="1:5" ht="13.5" customHeight="1" x14ac:dyDescent="0.3">
      <c r="A196" s="6" t="s">
        <v>3</v>
      </c>
      <c r="B196" s="6" t="s">
        <v>7</v>
      </c>
      <c r="C196" s="6" t="s">
        <v>19</v>
      </c>
      <c r="D196" s="8">
        <v>45744</v>
      </c>
      <c r="E196" s="7">
        <v>0.47916666666666669</v>
      </c>
    </row>
    <row r="197" spans="1:5" ht="13.5" customHeight="1" x14ac:dyDescent="0.3">
      <c r="A197" s="6" t="s">
        <v>30</v>
      </c>
      <c r="B197" s="6" t="s">
        <v>16</v>
      </c>
      <c r="C197" s="6" t="s">
        <v>19</v>
      </c>
      <c r="D197" s="8">
        <v>45745</v>
      </c>
      <c r="E197" s="7">
        <v>0.375</v>
      </c>
    </row>
    <row r="198" spans="1:5" ht="13.5" customHeight="1" x14ac:dyDescent="0.3">
      <c r="A198" s="6" t="s">
        <v>30</v>
      </c>
      <c r="B198" s="6" t="s">
        <v>16</v>
      </c>
      <c r="C198" s="6" t="s">
        <v>19</v>
      </c>
      <c r="D198" s="8">
        <v>45745</v>
      </c>
      <c r="E198" s="7">
        <v>0.41666666666666669</v>
      </c>
    </row>
    <row r="199" spans="1:5" ht="13.5" customHeight="1" x14ac:dyDescent="0.3">
      <c r="A199" s="6" t="s">
        <v>10</v>
      </c>
      <c r="B199" s="6" t="s">
        <v>7</v>
      </c>
      <c r="C199" s="6" t="s">
        <v>19</v>
      </c>
      <c r="D199" s="8">
        <v>45745</v>
      </c>
      <c r="E199" s="7">
        <v>0.39583333333333331</v>
      </c>
    </row>
    <row r="200" spans="1:5" ht="13.5" customHeight="1" x14ac:dyDescent="0.3">
      <c r="A200" s="6" t="s">
        <v>10</v>
      </c>
      <c r="B200" s="6" t="s">
        <v>7</v>
      </c>
      <c r="C200" s="6" t="s">
        <v>19</v>
      </c>
      <c r="D200" s="8">
        <v>45745</v>
      </c>
      <c r="E200" s="7">
        <v>0.4375</v>
      </c>
    </row>
    <row r="201" spans="1:5" ht="13.5" customHeight="1" x14ac:dyDescent="0.3">
      <c r="A201" s="6" t="s">
        <v>24</v>
      </c>
      <c r="B201" s="6" t="s">
        <v>16</v>
      </c>
      <c r="C201" s="6" t="s">
        <v>20</v>
      </c>
      <c r="D201" s="8">
        <v>45747</v>
      </c>
      <c r="E201" s="7">
        <v>0.41666666666666669</v>
      </c>
    </row>
    <row r="202" spans="1:5" ht="13.5" customHeight="1" x14ac:dyDescent="0.3">
      <c r="A202" s="6" t="s">
        <v>24</v>
      </c>
      <c r="B202" s="6" t="s">
        <v>16</v>
      </c>
      <c r="C202" s="6" t="s">
        <v>20</v>
      </c>
      <c r="D202" s="8">
        <v>45747</v>
      </c>
      <c r="E202" s="7">
        <v>0.45833333333333331</v>
      </c>
    </row>
    <row r="203" spans="1:5" ht="13.5" customHeight="1" x14ac:dyDescent="0.3">
      <c r="A203" s="6" t="s">
        <v>24</v>
      </c>
      <c r="B203" s="6" t="s">
        <v>16</v>
      </c>
      <c r="C203" s="6" t="s">
        <v>20</v>
      </c>
      <c r="D203" s="8">
        <v>45747</v>
      </c>
      <c r="E203" s="7">
        <v>0.5</v>
      </c>
    </row>
    <row r="204" spans="1:5" ht="13.5" customHeight="1" x14ac:dyDescent="0.3">
      <c r="A204" s="6" t="s">
        <v>29</v>
      </c>
      <c r="B204" s="6" t="s">
        <v>6</v>
      </c>
      <c r="C204" s="6" t="s">
        <v>19</v>
      </c>
      <c r="D204" s="8">
        <v>45747</v>
      </c>
      <c r="E204" s="7">
        <v>0.41666666666666669</v>
      </c>
    </row>
    <row r="205" spans="1:5" ht="13.5" customHeight="1" x14ac:dyDescent="0.3">
      <c r="A205" s="6" t="s">
        <v>29</v>
      </c>
      <c r="B205" s="6" t="s">
        <v>6</v>
      </c>
      <c r="C205" s="6" t="s">
        <v>19</v>
      </c>
      <c r="D205" s="8">
        <v>45747</v>
      </c>
      <c r="E205" s="7">
        <v>0.45833333333333331</v>
      </c>
    </row>
    <row r="206" spans="1:5" ht="13.5" customHeight="1" x14ac:dyDescent="0.3">
      <c r="A206" s="6" t="s">
        <v>10</v>
      </c>
      <c r="B206" s="6" t="s">
        <v>7</v>
      </c>
      <c r="C206" s="6" t="s">
        <v>20</v>
      </c>
      <c r="D206" s="8">
        <v>45747</v>
      </c>
      <c r="E206" s="7">
        <v>0.4236111111111111</v>
      </c>
    </row>
    <row r="207" spans="1:5" ht="13.5" customHeight="1" x14ac:dyDescent="0.3">
      <c r="A207" s="6" t="s">
        <v>10</v>
      </c>
      <c r="B207" s="6" t="s">
        <v>7</v>
      </c>
      <c r="C207" s="6" t="s">
        <v>20</v>
      </c>
      <c r="D207" s="8">
        <v>45747</v>
      </c>
      <c r="E207" s="7">
        <v>0.46527777777777779</v>
      </c>
    </row>
    <row r="208" spans="1:5" ht="13.5" customHeight="1" x14ac:dyDescent="0.3">
      <c r="A208" s="6" t="s">
        <v>10</v>
      </c>
      <c r="B208" s="6" t="s">
        <v>7</v>
      </c>
      <c r="C208" s="6" t="s">
        <v>20</v>
      </c>
      <c r="D208" s="8">
        <v>45747</v>
      </c>
      <c r="E208" s="7">
        <v>0.50694444444444442</v>
      </c>
    </row>
    <row r="209" spans="1:5" ht="13.5" customHeight="1" x14ac:dyDescent="0.3">
      <c r="A209" s="6" t="s">
        <v>11</v>
      </c>
      <c r="B209" s="6" t="s">
        <v>7</v>
      </c>
      <c r="C209" s="6" t="s">
        <v>19</v>
      </c>
      <c r="D209" s="8">
        <v>45747</v>
      </c>
      <c r="E209" s="7">
        <v>0.41666666666666669</v>
      </c>
    </row>
    <row r="210" spans="1:5" ht="13.5" customHeight="1" x14ac:dyDescent="0.3">
      <c r="A210" s="6" t="s">
        <v>11</v>
      </c>
      <c r="B210" s="6" t="s">
        <v>7</v>
      </c>
      <c r="C210" s="6" t="s">
        <v>19</v>
      </c>
      <c r="D210" s="8">
        <v>45747</v>
      </c>
      <c r="E210" s="7">
        <v>0.45833333333333331</v>
      </c>
    </row>
    <row r="211" spans="1:5" ht="13.5" customHeight="1" x14ac:dyDescent="0.3">
      <c r="A211" s="6" t="s">
        <v>4</v>
      </c>
      <c r="B211" s="6" t="s">
        <v>8</v>
      </c>
      <c r="C211" s="6" t="s">
        <v>20</v>
      </c>
      <c r="D211" s="8">
        <v>45748</v>
      </c>
      <c r="E211" s="7">
        <v>0.45833333333333331</v>
      </c>
    </row>
    <row r="212" spans="1:5" ht="13.5" customHeight="1" x14ac:dyDescent="0.3">
      <c r="A212" s="6" t="s">
        <v>4</v>
      </c>
      <c r="B212" s="6" t="s">
        <v>7</v>
      </c>
      <c r="C212" s="6" t="s">
        <v>20</v>
      </c>
      <c r="D212" s="8">
        <v>45748</v>
      </c>
      <c r="E212" s="7">
        <v>0.5</v>
      </c>
    </row>
    <row r="213" spans="1:5" ht="13.5" customHeight="1" x14ac:dyDescent="0.3">
      <c r="A213" s="6" t="s">
        <v>4</v>
      </c>
      <c r="B213" s="6" t="s">
        <v>7</v>
      </c>
      <c r="C213" s="6" t="s">
        <v>20</v>
      </c>
      <c r="D213" s="8">
        <v>45748</v>
      </c>
      <c r="E213" s="7">
        <v>0.58333333333333337</v>
      </c>
    </row>
    <row r="214" spans="1:5" ht="13.5" customHeight="1" x14ac:dyDescent="0.3">
      <c r="A214" s="6" t="s">
        <v>17</v>
      </c>
      <c r="B214" s="6" t="s">
        <v>7</v>
      </c>
      <c r="C214" s="6" t="s">
        <v>19</v>
      </c>
      <c r="D214" s="8">
        <v>45748</v>
      </c>
      <c r="E214" s="7">
        <v>0.41666666666666669</v>
      </c>
    </row>
    <row r="215" spans="1:5" ht="13.5" customHeight="1" x14ac:dyDescent="0.3">
      <c r="A215" s="6" t="s">
        <v>17</v>
      </c>
      <c r="B215" s="6" t="s">
        <v>7</v>
      </c>
      <c r="C215" s="6" t="s">
        <v>19</v>
      </c>
      <c r="D215" s="8">
        <v>45748</v>
      </c>
      <c r="E215" s="7">
        <v>0.45833333333333331</v>
      </c>
    </row>
    <row r="216" spans="1:5" ht="13.5" customHeight="1" x14ac:dyDescent="0.3">
      <c r="A216" s="6" t="s">
        <v>13</v>
      </c>
      <c r="B216" s="6" t="s">
        <v>7</v>
      </c>
      <c r="C216" s="6" t="s">
        <v>19</v>
      </c>
      <c r="D216" s="8">
        <v>45749</v>
      </c>
      <c r="E216" s="7">
        <v>0.41666666666666669</v>
      </c>
    </row>
    <row r="217" spans="1:5" ht="13.5" customHeight="1" x14ac:dyDescent="0.3">
      <c r="A217" s="6" t="s">
        <v>13</v>
      </c>
      <c r="B217" s="6" t="s">
        <v>7</v>
      </c>
      <c r="C217" s="6" t="s">
        <v>19</v>
      </c>
      <c r="D217" s="8">
        <v>45749</v>
      </c>
      <c r="E217" s="7">
        <v>0.45833333333333331</v>
      </c>
    </row>
    <row r="218" spans="1:5" ht="13.5" customHeight="1" x14ac:dyDescent="0.3">
      <c r="A218" s="6" t="s">
        <v>18</v>
      </c>
      <c r="B218" s="6" t="s">
        <v>8</v>
      </c>
      <c r="C218" s="6" t="s">
        <v>19</v>
      </c>
      <c r="D218" s="8">
        <v>45749</v>
      </c>
      <c r="E218" s="7">
        <v>0.4375</v>
      </c>
    </row>
    <row r="219" spans="1:5" ht="13.5" customHeight="1" x14ac:dyDescent="0.3">
      <c r="A219" s="6" t="s">
        <v>18</v>
      </c>
      <c r="B219" s="6" t="s">
        <v>7</v>
      </c>
      <c r="C219" s="6" t="s">
        <v>19</v>
      </c>
      <c r="D219" s="8">
        <v>45749</v>
      </c>
      <c r="E219" s="7">
        <v>0.47916666666666669</v>
      </c>
    </row>
    <row r="220" spans="1:5" ht="13.5" customHeight="1" x14ac:dyDescent="0.3">
      <c r="A220" s="6" t="s">
        <v>9</v>
      </c>
      <c r="B220" s="6" t="s">
        <v>7</v>
      </c>
      <c r="C220" s="6" t="s">
        <v>20</v>
      </c>
      <c r="D220" s="8">
        <v>45750</v>
      </c>
      <c r="E220" s="7">
        <v>0.4375</v>
      </c>
    </row>
    <row r="221" spans="1:5" ht="13.5" customHeight="1" x14ac:dyDescent="0.3">
      <c r="A221" s="6" t="s">
        <v>9</v>
      </c>
      <c r="B221" s="6" t="s">
        <v>7</v>
      </c>
      <c r="C221" s="6" t="s">
        <v>20</v>
      </c>
      <c r="D221" s="8">
        <v>45750</v>
      </c>
      <c r="E221" s="7">
        <v>0.47916666666666669</v>
      </c>
    </row>
    <row r="222" spans="1:5" ht="13.5" customHeight="1" x14ac:dyDescent="0.3">
      <c r="A222" s="6" t="s">
        <v>9</v>
      </c>
      <c r="B222" s="6" t="s">
        <v>7</v>
      </c>
      <c r="C222" s="6" t="s">
        <v>20</v>
      </c>
      <c r="D222" s="8">
        <v>45750</v>
      </c>
      <c r="E222" s="7">
        <v>0.52083333333333337</v>
      </c>
    </row>
    <row r="223" spans="1:5" ht="13.5" customHeight="1" x14ac:dyDescent="0.3">
      <c r="A223" s="6" t="s">
        <v>15</v>
      </c>
      <c r="B223" s="6" t="s">
        <v>43</v>
      </c>
      <c r="C223" s="6" t="s">
        <v>19</v>
      </c>
      <c r="D223" s="8">
        <v>45750</v>
      </c>
      <c r="E223" s="7">
        <v>0.4375</v>
      </c>
    </row>
    <row r="224" spans="1:5" ht="13.5" customHeight="1" x14ac:dyDescent="0.3">
      <c r="A224" s="6" t="s">
        <v>15</v>
      </c>
      <c r="B224" s="6" t="s">
        <v>43</v>
      </c>
      <c r="C224" s="6" t="s">
        <v>19</v>
      </c>
      <c r="D224" s="8">
        <v>45750</v>
      </c>
      <c r="E224" s="7">
        <v>0.47916666666666669</v>
      </c>
    </row>
    <row r="225" spans="1:5" ht="13.5" customHeight="1" x14ac:dyDescent="0.3">
      <c r="A225" s="6" t="s">
        <v>23</v>
      </c>
      <c r="B225" s="6" t="s">
        <v>6</v>
      </c>
      <c r="C225" s="6" t="s">
        <v>19</v>
      </c>
      <c r="D225" s="8">
        <v>45750</v>
      </c>
      <c r="E225" s="7">
        <v>0.45833333333333331</v>
      </c>
    </row>
    <row r="226" spans="1:5" ht="13.5" customHeight="1" x14ac:dyDescent="0.3">
      <c r="A226" s="6" t="s">
        <v>23</v>
      </c>
      <c r="B226" s="6" t="s">
        <v>6</v>
      </c>
      <c r="C226" s="6" t="s">
        <v>19</v>
      </c>
      <c r="D226" s="8">
        <v>45750</v>
      </c>
      <c r="E226" s="7">
        <v>0.5</v>
      </c>
    </row>
    <row r="227" spans="1:5" ht="13.5" customHeight="1" x14ac:dyDescent="0.3">
      <c r="A227" s="6" t="s">
        <v>23</v>
      </c>
      <c r="B227" s="6" t="s">
        <v>6</v>
      </c>
      <c r="C227" s="6" t="s">
        <v>19</v>
      </c>
      <c r="D227" s="8">
        <v>45750</v>
      </c>
      <c r="E227" s="7">
        <v>0.54166666666666663</v>
      </c>
    </row>
    <row r="228" spans="1:5" ht="13.5" customHeight="1" x14ac:dyDescent="0.3">
      <c r="A228" s="6" t="s">
        <v>31</v>
      </c>
      <c r="B228" s="6" t="s">
        <v>14</v>
      </c>
      <c r="C228" s="6" t="s">
        <v>19</v>
      </c>
      <c r="D228" s="8">
        <v>45750</v>
      </c>
      <c r="E228" s="7">
        <v>0.45833333333333331</v>
      </c>
    </row>
    <row r="229" spans="1:5" ht="13.5" customHeight="1" x14ac:dyDescent="0.3">
      <c r="A229" s="6" t="s">
        <v>12</v>
      </c>
      <c r="B229" s="6" t="s">
        <v>7</v>
      </c>
      <c r="C229" s="6" t="s">
        <v>19</v>
      </c>
      <c r="D229" s="8">
        <v>45751</v>
      </c>
      <c r="E229" s="7">
        <v>0.41666666666666669</v>
      </c>
    </row>
    <row r="230" spans="1:5" ht="13.5" customHeight="1" x14ac:dyDescent="0.3">
      <c r="A230" s="6" t="s">
        <v>12</v>
      </c>
      <c r="B230" s="6" t="s">
        <v>7</v>
      </c>
      <c r="C230" s="6" t="s">
        <v>19</v>
      </c>
      <c r="D230" s="8">
        <v>45751</v>
      </c>
      <c r="E230" s="7">
        <v>0.45833333333333331</v>
      </c>
    </row>
    <row r="231" spans="1:5" ht="13.5" customHeight="1" x14ac:dyDescent="0.3">
      <c r="A231" s="6" t="s">
        <v>3</v>
      </c>
      <c r="B231" s="6" t="s">
        <v>7</v>
      </c>
      <c r="C231" s="6" t="s">
        <v>19</v>
      </c>
      <c r="D231" s="8">
        <v>45751</v>
      </c>
      <c r="E231" s="7">
        <v>0.39583333333333331</v>
      </c>
    </row>
    <row r="232" spans="1:5" ht="13.5" customHeight="1" x14ac:dyDescent="0.3">
      <c r="A232" s="6" t="s">
        <v>3</v>
      </c>
      <c r="B232" s="6" t="s">
        <v>6</v>
      </c>
      <c r="C232" s="6" t="s">
        <v>19</v>
      </c>
      <c r="D232" s="8">
        <v>45751</v>
      </c>
      <c r="E232" s="7">
        <v>0.4375</v>
      </c>
    </row>
    <row r="233" spans="1:5" ht="13.5" customHeight="1" x14ac:dyDescent="0.3">
      <c r="A233" s="6" t="s">
        <v>30</v>
      </c>
      <c r="B233" s="6" t="s">
        <v>16</v>
      </c>
      <c r="C233" s="6" t="s">
        <v>19</v>
      </c>
      <c r="D233" s="8">
        <v>45752</v>
      </c>
      <c r="E233" s="7">
        <v>0.375</v>
      </c>
    </row>
    <row r="234" spans="1:5" ht="13.5" customHeight="1" x14ac:dyDescent="0.3">
      <c r="A234" s="6" t="s">
        <v>30</v>
      </c>
      <c r="B234" s="6" t="s">
        <v>16</v>
      </c>
      <c r="C234" s="6" t="s">
        <v>19</v>
      </c>
      <c r="D234" s="8">
        <v>45752</v>
      </c>
      <c r="E234" s="7">
        <v>0.41666666666666669</v>
      </c>
    </row>
    <row r="235" spans="1:5" ht="13.5" customHeight="1" x14ac:dyDescent="0.3">
      <c r="A235" s="6" t="s">
        <v>4</v>
      </c>
      <c r="B235" s="6" t="s">
        <v>7</v>
      </c>
      <c r="C235" s="6" t="s">
        <v>19</v>
      </c>
      <c r="D235" s="8">
        <v>45752</v>
      </c>
      <c r="E235" s="7">
        <v>0.41666666666666669</v>
      </c>
    </row>
    <row r="236" spans="1:5" ht="13.5" customHeight="1" x14ac:dyDescent="0.3">
      <c r="A236" s="6" t="s">
        <v>4</v>
      </c>
      <c r="B236" s="6" t="s">
        <v>7</v>
      </c>
      <c r="C236" s="6" t="s">
        <v>19</v>
      </c>
      <c r="D236" s="8">
        <v>45752</v>
      </c>
      <c r="E236" s="7">
        <v>0.45833333333333331</v>
      </c>
    </row>
    <row r="237" spans="1:5" ht="13.5" customHeight="1" x14ac:dyDescent="0.3">
      <c r="A237" s="6" t="s">
        <v>24</v>
      </c>
      <c r="B237" s="6" t="s">
        <v>16</v>
      </c>
      <c r="C237" s="6" t="s">
        <v>20</v>
      </c>
      <c r="D237" s="8">
        <v>45754</v>
      </c>
      <c r="E237" s="7">
        <v>0.41666666666666669</v>
      </c>
    </row>
    <row r="238" spans="1:5" ht="13.5" customHeight="1" x14ac:dyDescent="0.3">
      <c r="A238" s="6" t="s">
        <v>24</v>
      </c>
      <c r="B238" s="6" t="s">
        <v>16</v>
      </c>
      <c r="C238" s="6" t="s">
        <v>20</v>
      </c>
      <c r="D238" s="8">
        <v>45754</v>
      </c>
      <c r="E238" s="7">
        <v>0.45833333333333331</v>
      </c>
    </row>
    <row r="239" spans="1:5" ht="13.5" customHeight="1" x14ac:dyDescent="0.3">
      <c r="A239" s="6" t="s">
        <v>24</v>
      </c>
      <c r="B239" s="6" t="s">
        <v>16</v>
      </c>
      <c r="C239" s="6" t="s">
        <v>20</v>
      </c>
      <c r="D239" s="8">
        <v>45754</v>
      </c>
      <c r="E239" s="7">
        <v>0.5</v>
      </c>
    </row>
    <row r="240" spans="1:5" ht="13.5" customHeight="1" x14ac:dyDescent="0.3">
      <c r="A240" s="6" t="s">
        <v>29</v>
      </c>
      <c r="B240" s="6" t="s">
        <v>6</v>
      </c>
      <c r="C240" s="6" t="s">
        <v>19</v>
      </c>
      <c r="D240" s="8">
        <v>45754</v>
      </c>
      <c r="E240" s="7">
        <v>0.41666666666666669</v>
      </c>
    </row>
    <row r="241" spans="1:5" ht="13.5" customHeight="1" x14ac:dyDescent="0.3">
      <c r="A241" s="6" t="s">
        <v>29</v>
      </c>
      <c r="B241" s="6" t="s">
        <v>6</v>
      </c>
      <c r="C241" s="6" t="s">
        <v>19</v>
      </c>
      <c r="D241" s="8">
        <v>45754</v>
      </c>
      <c r="E241" s="7">
        <v>0.45833333333333331</v>
      </c>
    </row>
    <row r="242" spans="1:5" ht="13.5" customHeight="1" x14ac:dyDescent="0.3">
      <c r="A242" s="6" t="s">
        <v>10</v>
      </c>
      <c r="B242" s="6" t="s">
        <v>7</v>
      </c>
      <c r="C242" s="6" t="s">
        <v>20</v>
      </c>
      <c r="D242" s="8">
        <v>45754</v>
      </c>
      <c r="E242" s="7">
        <v>0.4236111111111111</v>
      </c>
    </row>
    <row r="243" spans="1:5" ht="13.5" customHeight="1" x14ac:dyDescent="0.3">
      <c r="A243" s="6" t="s">
        <v>10</v>
      </c>
      <c r="B243" s="6" t="s">
        <v>7</v>
      </c>
      <c r="C243" s="6" t="s">
        <v>20</v>
      </c>
      <c r="D243" s="8">
        <v>45754</v>
      </c>
      <c r="E243" s="7">
        <v>0.46527777777777779</v>
      </c>
    </row>
    <row r="244" spans="1:5" ht="13.5" customHeight="1" x14ac:dyDescent="0.3">
      <c r="A244" s="6" t="s">
        <v>10</v>
      </c>
      <c r="B244" s="6" t="s">
        <v>7</v>
      </c>
      <c r="C244" s="6" t="s">
        <v>20</v>
      </c>
      <c r="D244" s="8">
        <v>45754</v>
      </c>
      <c r="E244" s="7">
        <v>0.50694444444444442</v>
      </c>
    </row>
    <row r="245" spans="1:5" ht="13.5" customHeight="1" x14ac:dyDescent="0.3">
      <c r="A245" s="6" t="s">
        <v>11</v>
      </c>
      <c r="B245" s="6" t="s">
        <v>7</v>
      </c>
      <c r="C245" s="6" t="s">
        <v>19</v>
      </c>
      <c r="D245" s="8">
        <v>45756</v>
      </c>
      <c r="E245" s="7">
        <v>0.41666666666666669</v>
      </c>
    </row>
    <row r="246" spans="1:5" ht="13.5" customHeight="1" x14ac:dyDescent="0.3">
      <c r="A246" s="6" t="s">
        <v>11</v>
      </c>
      <c r="B246" s="6" t="s">
        <v>7</v>
      </c>
      <c r="C246" s="6" t="s">
        <v>19</v>
      </c>
      <c r="D246" s="8">
        <v>45756</v>
      </c>
      <c r="E246" s="7">
        <v>0.45833333333333331</v>
      </c>
    </row>
    <row r="247" spans="1:5" ht="13.5" customHeight="1" x14ac:dyDescent="0.3">
      <c r="A247" s="6" t="s">
        <v>4</v>
      </c>
      <c r="B247" s="6" t="s">
        <v>7</v>
      </c>
      <c r="C247" s="6" t="s">
        <v>19</v>
      </c>
      <c r="D247" s="8">
        <v>45755</v>
      </c>
      <c r="E247" s="7">
        <v>0.45833333333333331</v>
      </c>
    </row>
    <row r="248" spans="1:5" ht="13.5" customHeight="1" x14ac:dyDescent="0.3">
      <c r="A248" s="6" t="s">
        <v>4</v>
      </c>
      <c r="B248" s="6" t="s">
        <v>7</v>
      </c>
      <c r="C248" s="6" t="s">
        <v>20</v>
      </c>
      <c r="D248" s="8">
        <v>45755</v>
      </c>
      <c r="E248" s="7">
        <v>0.5</v>
      </c>
    </row>
    <row r="249" spans="1:5" ht="13.5" customHeight="1" x14ac:dyDescent="0.3">
      <c r="A249" s="6" t="s">
        <v>4</v>
      </c>
      <c r="B249" s="6" t="s">
        <v>7</v>
      </c>
      <c r="C249" s="6" t="s">
        <v>20</v>
      </c>
      <c r="D249" s="8">
        <v>45755</v>
      </c>
      <c r="E249" s="7">
        <v>0.58333333333333337</v>
      </c>
    </row>
    <row r="250" spans="1:5" ht="13.5" customHeight="1" x14ac:dyDescent="0.3">
      <c r="A250" s="6" t="s">
        <v>17</v>
      </c>
      <c r="B250" s="6" t="s">
        <v>7</v>
      </c>
      <c r="C250" s="6" t="s">
        <v>19</v>
      </c>
      <c r="D250" s="8">
        <v>45755</v>
      </c>
      <c r="E250" s="7">
        <v>0.41666666666666669</v>
      </c>
    </row>
    <row r="251" spans="1:5" ht="13.5" customHeight="1" x14ac:dyDescent="0.3">
      <c r="A251" s="6" t="s">
        <v>17</v>
      </c>
      <c r="B251" s="6" t="s">
        <v>7</v>
      </c>
      <c r="C251" s="6" t="s">
        <v>19</v>
      </c>
      <c r="D251" s="8">
        <v>45755</v>
      </c>
      <c r="E251" s="7">
        <v>0.45833333333333331</v>
      </c>
    </row>
    <row r="252" spans="1:5" ht="13.5" customHeight="1" x14ac:dyDescent="0.3">
      <c r="A252" s="6" t="s">
        <v>13</v>
      </c>
      <c r="B252" s="6" t="s">
        <v>7</v>
      </c>
      <c r="C252" s="6" t="s">
        <v>19</v>
      </c>
      <c r="D252" s="8">
        <v>45756</v>
      </c>
      <c r="E252" s="7">
        <v>0.41666666666666669</v>
      </c>
    </row>
    <row r="253" spans="1:5" ht="13.5" customHeight="1" x14ac:dyDescent="0.3">
      <c r="A253" s="6" t="s">
        <v>13</v>
      </c>
      <c r="B253" s="6" t="s">
        <v>7</v>
      </c>
      <c r="C253" s="6" t="s">
        <v>19</v>
      </c>
      <c r="D253" s="8">
        <v>45756</v>
      </c>
      <c r="E253" s="7">
        <v>0.45833333333333331</v>
      </c>
    </row>
    <row r="254" spans="1:5" ht="13.5" customHeight="1" x14ac:dyDescent="0.3">
      <c r="A254" s="6" t="s">
        <v>18</v>
      </c>
      <c r="B254" s="6" t="s">
        <v>7</v>
      </c>
      <c r="C254" s="6" t="s">
        <v>19</v>
      </c>
      <c r="D254" s="8">
        <v>45755</v>
      </c>
      <c r="E254" s="7">
        <v>0.4375</v>
      </c>
    </row>
    <row r="255" spans="1:5" ht="13.5" customHeight="1" x14ac:dyDescent="0.3">
      <c r="A255" s="6" t="s">
        <v>18</v>
      </c>
      <c r="B255" s="6" t="s">
        <v>7</v>
      </c>
      <c r="C255" s="6" t="s">
        <v>19</v>
      </c>
      <c r="D255" s="8">
        <v>45755</v>
      </c>
      <c r="E255" s="7">
        <v>0.47916666666666669</v>
      </c>
    </row>
    <row r="256" spans="1:5" ht="13.5" customHeight="1" x14ac:dyDescent="0.3">
      <c r="A256" s="6" t="s">
        <v>22</v>
      </c>
      <c r="B256" s="6" t="s">
        <v>14</v>
      </c>
      <c r="C256" s="6" t="s">
        <v>19</v>
      </c>
      <c r="D256" s="8">
        <v>45756</v>
      </c>
      <c r="E256" s="7">
        <v>0.625</v>
      </c>
    </row>
    <row r="257" spans="1:5" ht="13.5" customHeight="1" x14ac:dyDescent="0.3">
      <c r="A257" s="6" t="s">
        <v>22</v>
      </c>
      <c r="B257" s="6" t="s">
        <v>14</v>
      </c>
      <c r="C257" s="6" t="s">
        <v>19</v>
      </c>
      <c r="D257" s="8">
        <v>45756</v>
      </c>
      <c r="E257" s="7">
        <v>0.66666666666666663</v>
      </c>
    </row>
    <row r="258" spans="1:5" ht="13.5" customHeight="1" x14ac:dyDescent="0.3">
      <c r="A258" s="6" t="s">
        <v>9</v>
      </c>
      <c r="B258" s="6" t="s">
        <v>7</v>
      </c>
      <c r="C258" s="6" t="s">
        <v>20</v>
      </c>
      <c r="D258" s="8">
        <v>45757</v>
      </c>
      <c r="E258" s="7">
        <v>0.4375</v>
      </c>
    </row>
    <row r="259" spans="1:5" ht="13.5" customHeight="1" x14ac:dyDescent="0.3">
      <c r="A259" s="6" t="s">
        <v>9</v>
      </c>
      <c r="B259" s="6" t="s">
        <v>7</v>
      </c>
      <c r="C259" s="6" t="s">
        <v>20</v>
      </c>
      <c r="D259" s="8">
        <v>45757</v>
      </c>
      <c r="E259" s="7">
        <v>0.47916666666666669</v>
      </c>
    </row>
    <row r="260" spans="1:5" ht="13.5" customHeight="1" x14ac:dyDescent="0.3">
      <c r="A260" s="6" t="s">
        <v>9</v>
      </c>
      <c r="B260" s="6" t="s">
        <v>7</v>
      </c>
      <c r="C260" s="6" t="s">
        <v>20</v>
      </c>
      <c r="D260" s="8">
        <v>45757</v>
      </c>
      <c r="E260" s="7">
        <v>0.52083333333333337</v>
      </c>
    </row>
    <row r="261" spans="1:5" ht="13.5" customHeight="1" x14ac:dyDescent="0.3">
      <c r="A261" s="6" t="s">
        <v>15</v>
      </c>
      <c r="B261" s="6" t="s">
        <v>43</v>
      </c>
      <c r="C261" s="6" t="s">
        <v>19</v>
      </c>
      <c r="D261" s="8">
        <v>45757</v>
      </c>
      <c r="E261" s="7">
        <v>0.4375</v>
      </c>
    </row>
    <row r="262" spans="1:5" ht="13.5" customHeight="1" x14ac:dyDescent="0.3">
      <c r="A262" s="6" t="s">
        <v>15</v>
      </c>
      <c r="B262" s="6" t="s">
        <v>43</v>
      </c>
      <c r="C262" s="6" t="s">
        <v>19</v>
      </c>
      <c r="D262" s="8">
        <v>45757</v>
      </c>
      <c r="E262" s="7">
        <v>0.47916666666666669</v>
      </c>
    </row>
    <row r="263" spans="1:5" ht="13.5" customHeight="1" x14ac:dyDescent="0.3">
      <c r="A263" s="6" t="s">
        <v>23</v>
      </c>
      <c r="B263" s="6" t="s">
        <v>6</v>
      </c>
      <c r="C263" s="6" t="s">
        <v>19</v>
      </c>
      <c r="D263" s="8">
        <v>45757</v>
      </c>
      <c r="E263" s="7">
        <v>0.45833333333333331</v>
      </c>
    </row>
    <row r="264" spans="1:5" ht="13.5" customHeight="1" x14ac:dyDescent="0.3">
      <c r="A264" s="6" t="s">
        <v>23</v>
      </c>
      <c r="B264" s="6" t="s">
        <v>6</v>
      </c>
      <c r="C264" s="6" t="s">
        <v>19</v>
      </c>
      <c r="D264" s="8">
        <v>45757</v>
      </c>
      <c r="E264" s="7">
        <v>0.5</v>
      </c>
    </row>
    <row r="265" spans="1:5" ht="13.5" customHeight="1" x14ac:dyDescent="0.3">
      <c r="A265" s="6" t="s">
        <v>23</v>
      </c>
      <c r="B265" s="6" t="s">
        <v>6</v>
      </c>
      <c r="C265" s="6" t="s">
        <v>19</v>
      </c>
      <c r="D265" s="8">
        <v>45757</v>
      </c>
      <c r="E265" s="7">
        <v>0.54166666666666663</v>
      </c>
    </row>
    <row r="266" spans="1:5" ht="13.5" customHeight="1" x14ac:dyDescent="0.3">
      <c r="A266" s="6" t="s">
        <v>12</v>
      </c>
      <c r="B266" s="6" t="s">
        <v>7</v>
      </c>
      <c r="C266" s="6" t="s">
        <v>19</v>
      </c>
      <c r="D266" s="8">
        <v>45758</v>
      </c>
      <c r="E266" s="7">
        <v>0.41666666666666669</v>
      </c>
    </row>
    <row r="267" spans="1:5" ht="13.5" customHeight="1" x14ac:dyDescent="0.3">
      <c r="A267" s="6" t="s">
        <v>12</v>
      </c>
      <c r="B267" s="6" t="s">
        <v>7</v>
      </c>
      <c r="C267" s="6" t="s">
        <v>19</v>
      </c>
      <c r="D267" s="8">
        <v>45758</v>
      </c>
      <c r="E267" s="7">
        <v>0.45833333333333331</v>
      </c>
    </row>
    <row r="268" spans="1:5" ht="13.5" customHeight="1" x14ac:dyDescent="0.3">
      <c r="A268" s="6" t="s">
        <v>3</v>
      </c>
      <c r="B268" s="6" t="s">
        <v>7</v>
      </c>
      <c r="C268" s="6" t="s">
        <v>19</v>
      </c>
      <c r="D268" s="8">
        <v>45758</v>
      </c>
      <c r="E268" s="7">
        <v>0.39583333333333331</v>
      </c>
    </row>
    <row r="269" spans="1:5" ht="13.5" customHeight="1" x14ac:dyDescent="0.3">
      <c r="A269" s="6" t="s">
        <v>3</v>
      </c>
      <c r="B269" s="6" t="s">
        <v>7</v>
      </c>
      <c r="C269" s="6" t="s">
        <v>19</v>
      </c>
      <c r="D269" s="8">
        <v>45758</v>
      </c>
      <c r="E269" s="7">
        <v>0.4375</v>
      </c>
    </row>
    <row r="270" spans="1:5" ht="13.5" customHeight="1" x14ac:dyDescent="0.3">
      <c r="A270" s="6" t="s">
        <v>30</v>
      </c>
      <c r="B270" s="6" t="s">
        <v>16</v>
      </c>
      <c r="C270" s="6" t="s">
        <v>19</v>
      </c>
      <c r="D270" s="8">
        <v>45759</v>
      </c>
      <c r="E270" s="7">
        <v>0.375</v>
      </c>
    </row>
    <row r="271" spans="1:5" ht="13.5" customHeight="1" x14ac:dyDescent="0.3">
      <c r="A271" s="6" t="s">
        <v>30</v>
      </c>
      <c r="B271" s="6" t="s">
        <v>16</v>
      </c>
      <c r="C271" s="6" t="s">
        <v>19</v>
      </c>
      <c r="D271" s="8">
        <v>45759</v>
      </c>
      <c r="E271" s="7">
        <v>0.41666666666666669</v>
      </c>
    </row>
    <row r="272" spans="1:5" ht="13.5" customHeight="1" x14ac:dyDescent="0.3">
      <c r="A272" s="6" t="s">
        <v>3</v>
      </c>
      <c r="B272" s="6" t="s">
        <v>7</v>
      </c>
      <c r="C272" s="6" t="s">
        <v>19</v>
      </c>
      <c r="D272" s="8">
        <v>45759</v>
      </c>
      <c r="E272" s="7">
        <v>0.375</v>
      </c>
    </row>
    <row r="273" spans="1:5" ht="13.5" customHeight="1" x14ac:dyDescent="0.3">
      <c r="A273" s="6" t="s">
        <v>3</v>
      </c>
      <c r="B273" s="6" t="s">
        <v>7</v>
      </c>
      <c r="C273" s="6" t="s">
        <v>19</v>
      </c>
      <c r="D273" s="8">
        <v>45759</v>
      </c>
      <c r="E273" s="7">
        <v>0.41666666666666669</v>
      </c>
    </row>
    <row r="274" spans="1:5" ht="13.5" customHeight="1" x14ac:dyDescent="0.3">
      <c r="A274" s="6" t="s">
        <v>24</v>
      </c>
      <c r="B274" s="6" t="s">
        <v>16</v>
      </c>
      <c r="C274" s="6" t="s">
        <v>20</v>
      </c>
      <c r="D274" s="8">
        <v>45761</v>
      </c>
      <c r="E274" s="7">
        <v>0.41666666666666669</v>
      </c>
    </row>
    <row r="275" spans="1:5" ht="13.5" customHeight="1" x14ac:dyDescent="0.3">
      <c r="A275" s="6" t="s">
        <v>24</v>
      </c>
      <c r="B275" s="6" t="s">
        <v>16</v>
      </c>
      <c r="C275" s="6" t="s">
        <v>20</v>
      </c>
      <c r="D275" s="8">
        <v>45761</v>
      </c>
      <c r="E275" s="7">
        <v>0.45833333333333331</v>
      </c>
    </row>
    <row r="276" spans="1:5" ht="13.5" customHeight="1" x14ac:dyDescent="0.3">
      <c r="A276" s="6" t="s">
        <v>24</v>
      </c>
      <c r="B276" s="6" t="s">
        <v>16</v>
      </c>
      <c r="C276" s="6" t="s">
        <v>20</v>
      </c>
      <c r="D276" s="8">
        <v>45761</v>
      </c>
      <c r="E276" s="7">
        <v>0.5</v>
      </c>
    </row>
    <row r="277" spans="1:5" ht="13.5" customHeight="1" x14ac:dyDescent="0.3">
      <c r="A277" s="6" t="s">
        <v>29</v>
      </c>
      <c r="B277" s="6" t="s">
        <v>6</v>
      </c>
      <c r="C277" s="6" t="s">
        <v>19</v>
      </c>
      <c r="D277" s="8">
        <v>45761</v>
      </c>
      <c r="E277" s="7">
        <v>0.41666666666666669</v>
      </c>
    </row>
    <row r="278" spans="1:5" ht="13.5" customHeight="1" x14ac:dyDescent="0.3">
      <c r="A278" s="6" t="s">
        <v>29</v>
      </c>
      <c r="B278" s="6" t="s">
        <v>6</v>
      </c>
      <c r="C278" s="6" t="s">
        <v>19</v>
      </c>
      <c r="D278" s="8">
        <v>45761</v>
      </c>
      <c r="E278" s="7">
        <v>0.45833333333333331</v>
      </c>
    </row>
    <row r="279" spans="1:5" ht="13.5" customHeight="1" x14ac:dyDescent="0.3">
      <c r="A279" s="6" t="s">
        <v>10</v>
      </c>
      <c r="B279" s="6" t="s">
        <v>7</v>
      </c>
      <c r="C279" s="6" t="s">
        <v>20</v>
      </c>
      <c r="D279" s="8">
        <v>45761</v>
      </c>
      <c r="E279" s="7">
        <v>0.4236111111111111</v>
      </c>
    </row>
    <row r="280" spans="1:5" ht="13.5" customHeight="1" x14ac:dyDescent="0.3">
      <c r="A280" s="6" t="s">
        <v>10</v>
      </c>
      <c r="B280" s="6" t="s">
        <v>7</v>
      </c>
      <c r="C280" s="6" t="s">
        <v>20</v>
      </c>
      <c r="D280" s="8">
        <v>45761</v>
      </c>
      <c r="E280" s="7">
        <v>0.46527777777777779</v>
      </c>
    </row>
    <row r="281" spans="1:5" ht="13.5" customHeight="1" x14ac:dyDescent="0.3">
      <c r="A281" s="6" t="s">
        <v>10</v>
      </c>
      <c r="B281" s="6" t="s">
        <v>7</v>
      </c>
      <c r="C281" s="6" t="s">
        <v>20</v>
      </c>
      <c r="D281" s="8">
        <v>45761</v>
      </c>
      <c r="E281" s="7">
        <v>0.50694444444444442</v>
      </c>
    </row>
    <row r="282" spans="1:5" ht="13.5" customHeight="1" x14ac:dyDescent="0.3">
      <c r="A282" s="6" t="s">
        <v>11</v>
      </c>
      <c r="B282" s="6" t="s">
        <v>7</v>
      </c>
      <c r="C282" s="6" t="s">
        <v>19</v>
      </c>
      <c r="D282" s="8">
        <v>45763</v>
      </c>
      <c r="E282" s="7">
        <v>0.41666666666666669</v>
      </c>
    </row>
    <row r="283" spans="1:5" ht="13.5" customHeight="1" x14ac:dyDescent="0.3">
      <c r="A283" s="6" t="s">
        <v>11</v>
      </c>
      <c r="B283" s="6" t="s">
        <v>7</v>
      </c>
      <c r="C283" s="6" t="s">
        <v>19</v>
      </c>
      <c r="D283" s="8">
        <v>45763</v>
      </c>
      <c r="E283" s="7">
        <v>0.45833333333333331</v>
      </c>
    </row>
    <row r="284" spans="1:5" ht="13.5" customHeight="1" x14ac:dyDescent="0.3">
      <c r="A284" s="6" t="s">
        <v>4</v>
      </c>
      <c r="B284" s="6" t="s">
        <v>8</v>
      </c>
      <c r="C284" s="6" t="s">
        <v>20</v>
      </c>
      <c r="D284" s="8">
        <v>45762</v>
      </c>
      <c r="E284" s="7">
        <v>0.45833333333333331</v>
      </c>
    </row>
    <row r="285" spans="1:5" ht="13.5" customHeight="1" x14ac:dyDescent="0.3">
      <c r="A285" s="6" t="s">
        <v>4</v>
      </c>
      <c r="B285" s="6" t="s">
        <v>7</v>
      </c>
      <c r="C285" s="6" t="s">
        <v>20</v>
      </c>
      <c r="D285" s="8">
        <v>45762</v>
      </c>
      <c r="E285" s="7">
        <v>0.5</v>
      </c>
    </row>
    <row r="286" spans="1:5" ht="13.5" customHeight="1" x14ac:dyDescent="0.3">
      <c r="A286" s="6" t="s">
        <v>4</v>
      </c>
      <c r="B286" s="6" t="s">
        <v>7</v>
      </c>
      <c r="C286" s="6" t="s">
        <v>20</v>
      </c>
      <c r="D286" s="8">
        <v>45762</v>
      </c>
      <c r="E286" s="7">
        <v>0.58333333333333337</v>
      </c>
    </row>
    <row r="287" spans="1:5" ht="13.5" customHeight="1" x14ac:dyDescent="0.3">
      <c r="A287" s="6" t="s">
        <v>17</v>
      </c>
      <c r="B287" s="6" t="s">
        <v>7</v>
      </c>
      <c r="C287" s="6" t="s">
        <v>19</v>
      </c>
      <c r="D287" s="8">
        <v>45762</v>
      </c>
      <c r="E287" s="7">
        <v>0.41666666666666669</v>
      </c>
    </row>
    <row r="288" spans="1:5" ht="13.5" customHeight="1" x14ac:dyDescent="0.3">
      <c r="A288" s="6" t="s">
        <v>17</v>
      </c>
      <c r="B288" s="6" t="s">
        <v>7</v>
      </c>
      <c r="C288" s="6" t="s">
        <v>19</v>
      </c>
      <c r="D288" s="8">
        <v>45762</v>
      </c>
      <c r="E288" s="7">
        <v>0.45833333333333331</v>
      </c>
    </row>
    <row r="289" spans="1:5" ht="13.5" customHeight="1" x14ac:dyDescent="0.3">
      <c r="A289" s="6" t="s">
        <v>13</v>
      </c>
      <c r="B289" s="6" t="s">
        <v>7</v>
      </c>
      <c r="C289" s="6" t="s">
        <v>19</v>
      </c>
      <c r="D289" s="8">
        <v>45763</v>
      </c>
      <c r="E289" s="7">
        <v>0.41666666666666669</v>
      </c>
    </row>
    <row r="290" spans="1:5" ht="13.5" customHeight="1" x14ac:dyDescent="0.3">
      <c r="A290" s="6" t="s">
        <v>13</v>
      </c>
      <c r="B290" s="6" t="s">
        <v>7</v>
      </c>
      <c r="C290" s="6" t="s">
        <v>19</v>
      </c>
      <c r="D290" s="8">
        <v>45763</v>
      </c>
      <c r="E290" s="7">
        <v>0.45833333333333331</v>
      </c>
    </row>
    <row r="291" spans="1:5" ht="13.5" customHeight="1" x14ac:dyDescent="0.3">
      <c r="A291" s="6" t="s">
        <v>18</v>
      </c>
      <c r="B291" s="6" t="s">
        <v>8</v>
      </c>
      <c r="C291" s="6" t="s">
        <v>19</v>
      </c>
      <c r="D291" s="8">
        <v>45758</v>
      </c>
      <c r="E291" s="7">
        <v>0.4375</v>
      </c>
    </row>
    <row r="292" spans="1:5" ht="13.5" customHeight="1" x14ac:dyDescent="0.3">
      <c r="A292" s="6" t="s">
        <v>18</v>
      </c>
      <c r="B292" s="6" t="s">
        <v>7</v>
      </c>
      <c r="C292" s="6" t="s">
        <v>19</v>
      </c>
      <c r="D292" s="8">
        <v>45758</v>
      </c>
      <c r="E292" s="7">
        <v>0.47916666666666669</v>
      </c>
    </row>
    <row r="293" spans="1:5" ht="13.5" customHeight="1" x14ac:dyDescent="0.3">
      <c r="A293" s="6" t="s">
        <v>9</v>
      </c>
      <c r="B293" s="6" t="s">
        <v>7</v>
      </c>
      <c r="C293" s="6" t="s">
        <v>20</v>
      </c>
      <c r="D293" s="8">
        <v>45764</v>
      </c>
      <c r="E293" s="7">
        <v>0.4375</v>
      </c>
    </row>
    <row r="294" spans="1:5" ht="13.5" customHeight="1" x14ac:dyDescent="0.3">
      <c r="A294" s="6" t="s">
        <v>9</v>
      </c>
      <c r="B294" s="6" t="s">
        <v>7</v>
      </c>
      <c r="C294" s="6" t="s">
        <v>20</v>
      </c>
      <c r="D294" s="8">
        <v>45764</v>
      </c>
      <c r="E294" s="7">
        <v>0.47916666666666669</v>
      </c>
    </row>
    <row r="295" spans="1:5" ht="13.5" customHeight="1" x14ac:dyDescent="0.3">
      <c r="A295" s="6" t="s">
        <v>9</v>
      </c>
      <c r="B295" s="6" t="s">
        <v>7</v>
      </c>
      <c r="C295" s="6" t="s">
        <v>20</v>
      </c>
      <c r="D295" s="8">
        <v>45764</v>
      </c>
      <c r="E295" s="7">
        <v>0.52083333333333337</v>
      </c>
    </row>
    <row r="296" spans="1:5" ht="13.5" customHeight="1" x14ac:dyDescent="0.3">
      <c r="A296" s="6" t="s">
        <v>15</v>
      </c>
      <c r="B296" s="6" t="s">
        <v>43</v>
      </c>
      <c r="C296" s="6" t="s">
        <v>19</v>
      </c>
      <c r="D296" s="8">
        <v>45764</v>
      </c>
      <c r="E296" s="7">
        <v>0.4375</v>
      </c>
    </row>
    <row r="297" spans="1:5" ht="13.5" customHeight="1" x14ac:dyDescent="0.3">
      <c r="A297" s="6" t="s">
        <v>15</v>
      </c>
      <c r="B297" s="6" t="s">
        <v>43</v>
      </c>
      <c r="C297" s="6" t="s">
        <v>19</v>
      </c>
      <c r="D297" s="8">
        <v>45764</v>
      </c>
      <c r="E297" s="7">
        <v>0.47916666666666669</v>
      </c>
    </row>
    <row r="298" spans="1:5" ht="13.5" customHeight="1" x14ac:dyDescent="0.3">
      <c r="A298" s="6" t="s">
        <v>23</v>
      </c>
      <c r="B298" s="6" t="s">
        <v>6</v>
      </c>
      <c r="C298" s="6" t="s">
        <v>19</v>
      </c>
      <c r="D298" s="8">
        <v>45764</v>
      </c>
      <c r="E298" s="7">
        <v>0.45833333333333331</v>
      </c>
    </row>
    <row r="299" spans="1:5" ht="13.5" customHeight="1" x14ac:dyDescent="0.3">
      <c r="A299" s="6" t="s">
        <v>23</v>
      </c>
      <c r="B299" s="6" t="s">
        <v>6</v>
      </c>
      <c r="C299" s="6" t="s">
        <v>19</v>
      </c>
      <c r="D299" s="8">
        <v>45764</v>
      </c>
      <c r="E299" s="7">
        <v>0.5</v>
      </c>
    </row>
    <row r="300" spans="1:5" ht="13.5" customHeight="1" x14ac:dyDescent="0.3">
      <c r="A300" s="6" t="s">
        <v>23</v>
      </c>
      <c r="B300" s="6" t="s">
        <v>6</v>
      </c>
      <c r="C300" s="6" t="s">
        <v>19</v>
      </c>
      <c r="D300" s="8">
        <v>45764</v>
      </c>
      <c r="E300" s="7">
        <v>0.54166666666666663</v>
      </c>
    </row>
    <row r="301" spans="1:5" ht="13.5" customHeight="1" x14ac:dyDescent="0.3">
      <c r="A301" s="6" t="s">
        <v>31</v>
      </c>
      <c r="B301" s="6" t="s">
        <v>14</v>
      </c>
      <c r="C301" s="6" t="s">
        <v>19</v>
      </c>
      <c r="D301" s="8">
        <v>45764</v>
      </c>
      <c r="E301" s="7">
        <v>0.41666666666666669</v>
      </c>
    </row>
    <row r="302" spans="1:5" ht="13.5" customHeight="1" x14ac:dyDescent="0.3">
      <c r="A302" s="6" t="s">
        <v>31</v>
      </c>
      <c r="B302" s="6" t="s">
        <v>14</v>
      </c>
      <c r="C302" s="6" t="s">
        <v>19</v>
      </c>
      <c r="D302" s="8">
        <v>45764</v>
      </c>
      <c r="E302" s="7">
        <v>0.45833333333333331</v>
      </c>
    </row>
    <row r="303" spans="1:5" ht="13.5" customHeight="1" x14ac:dyDescent="0.3">
      <c r="A303" s="6" t="s">
        <v>12</v>
      </c>
      <c r="B303" s="6" t="s">
        <v>7</v>
      </c>
      <c r="C303" s="6" t="s">
        <v>19</v>
      </c>
      <c r="D303" s="8">
        <v>45765</v>
      </c>
      <c r="E303" s="7">
        <v>0.41666666666666669</v>
      </c>
    </row>
    <row r="304" spans="1:5" ht="13.5" customHeight="1" x14ac:dyDescent="0.3">
      <c r="A304" s="6" t="s">
        <v>12</v>
      </c>
      <c r="B304" s="6" t="s">
        <v>7</v>
      </c>
      <c r="C304" s="6" t="s">
        <v>19</v>
      </c>
      <c r="D304" s="8">
        <v>45765</v>
      </c>
      <c r="E304" s="7">
        <v>0.45833333333333331</v>
      </c>
    </row>
    <row r="305" spans="1:5" ht="13.5" customHeight="1" x14ac:dyDescent="0.3">
      <c r="A305" s="6" t="s">
        <v>3</v>
      </c>
      <c r="B305" s="6" t="s">
        <v>7</v>
      </c>
      <c r="C305" s="6" t="s">
        <v>19</v>
      </c>
      <c r="D305" s="8">
        <v>45765</v>
      </c>
      <c r="E305" s="7">
        <v>0.39583333333333331</v>
      </c>
    </row>
    <row r="306" spans="1:5" ht="13.5" customHeight="1" x14ac:dyDescent="0.3">
      <c r="A306" s="6" t="s">
        <v>3</v>
      </c>
      <c r="B306" s="6" t="s">
        <v>7</v>
      </c>
      <c r="C306" s="6" t="s">
        <v>19</v>
      </c>
      <c r="D306" s="8">
        <v>45765</v>
      </c>
      <c r="E306" s="7">
        <v>0.4375</v>
      </c>
    </row>
    <row r="307" spans="1:5" ht="13.5" customHeight="1" x14ac:dyDescent="0.3">
      <c r="A307" s="6" t="s">
        <v>30</v>
      </c>
      <c r="B307" s="6" t="s">
        <v>16</v>
      </c>
      <c r="C307" s="6" t="s">
        <v>19</v>
      </c>
      <c r="D307" s="8">
        <v>45766</v>
      </c>
      <c r="E307" s="7">
        <v>0.375</v>
      </c>
    </row>
    <row r="308" spans="1:5" ht="13.5" customHeight="1" x14ac:dyDescent="0.3">
      <c r="A308" s="6" t="s">
        <v>30</v>
      </c>
      <c r="B308" s="6" t="s">
        <v>16</v>
      </c>
      <c r="C308" s="6" t="s">
        <v>19</v>
      </c>
      <c r="D308" s="8">
        <v>45766</v>
      </c>
      <c r="E308" s="7">
        <v>0.41666666666666669</v>
      </c>
    </row>
    <row r="309" spans="1:5" ht="13.5" customHeight="1" x14ac:dyDescent="0.3">
      <c r="A309" s="6" t="s">
        <v>24</v>
      </c>
      <c r="B309" s="6" t="s">
        <v>7</v>
      </c>
      <c r="C309" s="6" t="s">
        <v>19</v>
      </c>
      <c r="D309" s="8">
        <v>45766</v>
      </c>
      <c r="E309" s="7">
        <v>0.39583333333333331</v>
      </c>
    </row>
    <row r="310" spans="1:5" ht="13.5" customHeight="1" x14ac:dyDescent="0.3">
      <c r="A310" s="6" t="s">
        <v>24</v>
      </c>
      <c r="B310" s="6" t="s">
        <v>7</v>
      </c>
      <c r="C310" s="6" t="s">
        <v>19</v>
      </c>
      <c r="D310" s="8">
        <v>45766</v>
      </c>
      <c r="E310" s="7">
        <v>0.4375</v>
      </c>
    </row>
    <row r="311" spans="1:5" ht="13.5" customHeight="1" x14ac:dyDescent="0.3">
      <c r="A311" s="6" t="s">
        <v>24</v>
      </c>
      <c r="B311" s="6" t="s">
        <v>16</v>
      </c>
      <c r="C311" s="6" t="s">
        <v>20</v>
      </c>
      <c r="D311" s="8">
        <v>45768</v>
      </c>
      <c r="E311" s="7">
        <v>0.41666666666666669</v>
      </c>
    </row>
    <row r="312" spans="1:5" ht="13.5" customHeight="1" x14ac:dyDescent="0.3">
      <c r="A312" s="6" t="s">
        <v>24</v>
      </c>
      <c r="B312" s="6" t="s">
        <v>16</v>
      </c>
      <c r="C312" s="6" t="s">
        <v>20</v>
      </c>
      <c r="D312" s="8">
        <v>45768</v>
      </c>
      <c r="E312" s="7">
        <v>0.45833333333333331</v>
      </c>
    </row>
    <row r="313" spans="1:5" ht="13.5" customHeight="1" x14ac:dyDescent="0.3">
      <c r="A313" s="6" t="s">
        <v>24</v>
      </c>
      <c r="B313" s="6" t="s">
        <v>16</v>
      </c>
      <c r="C313" s="6" t="s">
        <v>20</v>
      </c>
      <c r="D313" s="8">
        <v>45768</v>
      </c>
      <c r="E313" s="7">
        <v>0.5</v>
      </c>
    </row>
    <row r="314" spans="1:5" ht="13.5" customHeight="1" x14ac:dyDescent="0.3">
      <c r="A314" s="6" t="s">
        <v>29</v>
      </c>
      <c r="B314" s="6" t="s">
        <v>6</v>
      </c>
      <c r="C314" s="6" t="s">
        <v>19</v>
      </c>
      <c r="D314" s="8">
        <v>45768</v>
      </c>
      <c r="E314" s="7">
        <v>0.41666666666666669</v>
      </c>
    </row>
    <row r="315" spans="1:5" ht="13.5" customHeight="1" x14ac:dyDescent="0.3">
      <c r="A315" s="6" t="s">
        <v>29</v>
      </c>
      <c r="B315" s="6" t="s">
        <v>6</v>
      </c>
      <c r="C315" s="6" t="s">
        <v>19</v>
      </c>
      <c r="D315" s="8">
        <v>45768</v>
      </c>
      <c r="E315" s="7">
        <v>0.45833333333333331</v>
      </c>
    </row>
    <row r="316" spans="1:5" ht="13.5" customHeight="1" x14ac:dyDescent="0.3">
      <c r="A316" s="6" t="s">
        <v>11</v>
      </c>
      <c r="B316" s="6" t="s">
        <v>7</v>
      </c>
      <c r="C316" s="6" t="s">
        <v>19</v>
      </c>
      <c r="D316" s="8">
        <v>45768</v>
      </c>
      <c r="E316" s="7">
        <v>0.41666666666666669</v>
      </c>
    </row>
    <row r="317" spans="1:5" ht="13.5" customHeight="1" x14ac:dyDescent="0.3">
      <c r="A317" s="6" t="s">
        <v>11</v>
      </c>
      <c r="B317" s="6" t="s">
        <v>7</v>
      </c>
      <c r="C317" s="6" t="s">
        <v>19</v>
      </c>
      <c r="D317" s="8">
        <v>45768</v>
      </c>
      <c r="E317" s="7">
        <v>0.45833333333333331</v>
      </c>
    </row>
    <row r="318" spans="1:5" ht="13.5" customHeight="1" x14ac:dyDescent="0.3">
      <c r="A318" s="6" t="s">
        <v>4</v>
      </c>
      <c r="B318" s="6" t="s">
        <v>8</v>
      </c>
      <c r="C318" s="6" t="s">
        <v>20</v>
      </c>
      <c r="D318" s="8">
        <v>45769</v>
      </c>
      <c r="E318" s="7">
        <v>0.45833333333333331</v>
      </c>
    </row>
    <row r="319" spans="1:5" ht="13.5" customHeight="1" x14ac:dyDescent="0.3">
      <c r="A319" s="6" t="s">
        <v>4</v>
      </c>
      <c r="B319" s="6" t="s">
        <v>7</v>
      </c>
      <c r="C319" s="6" t="s">
        <v>20</v>
      </c>
      <c r="D319" s="8">
        <v>45769</v>
      </c>
      <c r="E319" s="7">
        <v>0.5</v>
      </c>
    </row>
    <row r="320" spans="1:5" ht="13.5" customHeight="1" x14ac:dyDescent="0.3">
      <c r="A320" s="6" t="s">
        <v>4</v>
      </c>
      <c r="B320" s="6" t="s">
        <v>7</v>
      </c>
      <c r="C320" s="6" t="s">
        <v>20</v>
      </c>
      <c r="D320" s="8">
        <v>45769</v>
      </c>
      <c r="E320" s="7">
        <v>0.58333333333333337</v>
      </c>
    </row>
    <row r="321" spans="1:5" ht="13.5" customHeight="1" x14ac:dyDescent="0.3">
      <c r="A321" s="6" t="s">
        <v>17</v>
      </c>
      <c r="B321" s="6" t="s">
        <v>7</v>
      </c>
      <c r="C321" s="6" t="s">
        <v>19</v>
      </c>
      <c r="D321" s="8">
        <v>45769</v>
      </c>
      <c r="E321" s="7">
        <v>0.41666666666666669</v>
      </c>
    </row>
    <row r="322" spans="1:5" ht="13.5" customHeight="1" x14ac:dyDescent="0.3">
      <c r="A322" s="6" t="s">
        <v>17</v>
      </c>
      <c r="B322" s="6" t="s">
        <v>7</v>
      </c>
      <c r="C322" s="6" t="s">
        <v>19</v>
      </c>
      <c r="D322" s="8">
        <v>45769</v>
      </c>
      <c r="E322" s="7">
        <v>0.45833333333333331</v>
      </c>
    </row>
    <row r="323" spans="1:5" ht="13.5" customHeight="1" x14ac:dyDescent="0.3">
      <c r="A323" s="6" t="s">
        <v>12</v>
      </c>
      <c r="B323" s="6" t="s">
        <v>7</v>
      </c>
      <c r="C323" s="6" t="s">
        <v>19</v>
      </c>
      <c r="D323" s="8">
        <v>45779</v>
      </c>
      <c r="E323" s="7">
        <v>0.41666666666666669</v>
      </c>
    </row>
    <row r="324" spans="1:5" ht="13.5" customHeight="1" x14ac:dyDescent="0.3">
      <c r="A324" s="6" t="s">
        <v>12</v>
      </c>
      <c r="B324" s="6" t="s">
        <v>7</v>
      </c>
      <c r="C324" s="6" t="s">
        <v>19</v>
      </c>
      <c r="D324" s="8">
        <v>45779</v>
      </c>
      <c r="E324" s="7">
        <v>0.45833333333333331</v>
      </c>
    </row>
    <row r="325" spans="1:5" ht="13.5" customHeight="1" x14ac:dyDescent="0.3">
      <c r="A325" s="6" t="s">
        <v>3</v>
      </c>
      <c r="B325" s="6" t="s">
        <v>7</v>
      </c>
      <c r="C325" s="6" t="s">
        <v>19</v>
      </c>
      <c r="D325" s="8">
        <v>45779</v>
      </c>
      <c r="E325" s="7">
        <v>0.39583333333333331</v>
      </c>
    </row>
    <row r="326" spans="1:5" ht="13.5" customHeight="1" x14ac:dyDescent="0.3">
      <c r="A326" s="6" t="s">
        <v>3</v>
      </c>
      <c r="B326" s="6" t="s">
        <v>7</v>
      </c>
      <c r="C326" s="6" t="s">
        <v>19</v>
      </c>
      <c r="D326" s="8">
        <v>45779</v>
      </c>
      <c r="E326" s="7">
        <v>0.4375</v>
      </c>
    </row>
    <row r="327" spans="1:5" ht="13.5" customHeight="1" x14ac:dyDescent="0.3">
      <c r="A327" s="6" t="s">
        <v>30</v>
      </c>
      <c r="B327" s="6" t="s">
        <v>16</v>
      </c>
      <c r="C327" s="6" t="s">
        <v>19</v>
      </c>
      <c r="D327" s="8">
        <v>45780</v>
      </c>
      <c r="E327" s="7">
        <v>0.375</v>
      </c>
    </row>
    <row r="328" spans="1:5" ht="13.5" customHeight="1" x14ac:dyDescent="0.3">
      <c r="A328" s="6" t="s">
        <v>30</v>
      </c>
      <c r="B328" s="6" t="s">
        <v>16</v>
      </c>
      <c r="C328" s="6" t="s">
        <v>19</v>
      </c>
      <c r="D328" s="8">
        <v>45780</v>
      </c>
      <c r="E328" s="7">
        <v>0.41666666666666669</v>
      </c>
    </row>
    <row r="329" spans="1:5" ht="13.5" customHeight="1" x14ac:dyDescent="0.3">
      <c r="A329" s="6" t="s">
        <v>10</v>
      </c>
      <c r="B329" s="6" t="s">
        <v>7</v>
      </c>
      <c r="C329" s="6" t="s">
        <v>19</v>
      </c>
      <c r="D329" s="8">
        <v>45780</v>
      </c>
      <c r="E329" s="7">
        <v>0.39583333333333331</v>
      </c>
    </row>
    <row r="330" spans="1:5" ht="13.5" customHeight="1" x14ac:dyDescent="0.3">
      <c r="A330" s="6" t="s">
        <v>10</v>
      </c>
      <c r="B330" s="6" t="s">
        <v>7</v>
      </c>
      <c r="C330" s="6" t="s">
        <v>19</v>
      </c>
      <c r="D330" s="8">
        <v>45780</v>
      </c>
      <c r="E330" s="7">
        <v>0.4375</v>
      </c>
    </row>
    <row r="331" spans="1:5" ht="13.5" customHeight="1" x14ac:dyDescent="0.3">
      <c r="A331" s="6" t="s">
        <v>4</v>
      </c>
      <c r="B331" s="6" t="s">
        <v>7</v>
      </c>
      <c r="C331" s="6" t="s">
        <v>19</v>
      </c>
      <c r="D331" s="8">
        <v>45780</v>
      </c>
      <c r="E331" s="7">
        <v>0.41666666666666669</v>
      </c>
    </row>
    <row r="332" spans="1:5" ht="13.5" customHeight="1" x14ac:dyDescent="0.3">
      <c r="A332" s="6" t="s">
        <v>4</v>
      </c>
      <c r="B332" s="6" t="s">
        <v>7</v>
      </c>
      <c r="C332" s="6" t="s">
        <v>19</v>
      </c>
      <c r="D332" s="8">
        <v>45780</v>
      </c>
      <c r="E332" s="7">
        <v>0.45833333333333331</v>
      </c>
    </row>
    <row r="333" spans="1:5" ht="13.5" customHeight="1" x14ac:dyDescent="0.3">
      <c r="A333" s="6" t="s">
        <v>27</v>
      </c>
      <c r="B333" s="6" t="s">
        <v>28</v>
      </c>
      <c r="C333" s="6" t="s">
        <v>19</v>
      </c>
      <c r="D333" s="8">
        <v>45780</v>
      </c>
      <c r="E333" s="7">
        <v>0.45833333333333331</v>
      </c>
    </row>
    <row r="334" spans="1:5" ht="13.5" customHeight="1" x14ac:dyDescent="0.3">
      <c r="A334" s="6" t="s">
        <v>27</v>
      </c>
      <c r="B334" s="6" t="s">
        <v>28</v>
      </c>
      <c r="C334" s="6" t="s">
        <v>19</v>
      </c>
      <c r="D334" s="8">
        <v>45784</v>
      </c>
      <c r="E334" s="7">
        <v>0.45833333333333331</v>
      </c>
    </row>
    <row r="335" spans="1:5" ht="13.5" customHeight="1" x14ac:dyDescent="0.3">
      <c r="A335" s="6" t="s">
        <v>13</v>
      </c>
      <c r="B335" s="6" t="s">
        <v>7</v>
      </c>
      <c r="C335" s="6" t="s">
        <v>19</v>
      </c>
      <c r="D335" s="8">
        <v>45784</v>
      </c>
      <c r="E335" s="7">
        <v>0.41666666666666669</v>
      </c>
    </row>
    <row r="336" spans="1:5" ht="13.5" customHeight="1" x14ac:dyDescent="0.3">
      <c r="A336" s="6" t="s">
        <v>13</v>
      </c>
      <c r="B336" s="6" t="s">
        <v>7</v>
      </c>
      <c r="C336" s="6" t="s">
        <v>19</v>
      </c>
      <c r="D336" s="8">
        <v>45784</v>
      </c>
      <c r="E336" s="7">
        <v>0.45833333333333331</v>
      </c>
    </row>
    <row r="337" spans="1:5" ht="13.5" customHeight="1" x14ac:dyDescent="0.3">
      <c r="A337" s="6" t="s">
        <v>18</v>
      </c>
      <c r="B337" s="6" t="s">
        <v>8</v>
      </c>
      <c r="C337" s="6" t="s">
        <v>19</v>
      </c>
      <c r="D337" s="8">
        <v>45784</v>
      </c>
      <c r="E337" s="7">
        <v>0.4375</v>
      </c>
    </row>
    <row r="338" spans="1:5" ht="13.5" customHeight="1" x14ac:dyDescent="0.3">
      <c r="A338" s="6" t="s">
        <v>18</v>
      </c>
      <c r="B338" s="6" t="s">
        <v>7</v>
      </c>
      <c r="C338" s="6" t="s">
        <v>19</v>
      </c>
      <c r="D338" s="8">
        <v>45784</v>
      </c>
      <c r="E338" s="7">
        <v>0.47916666666666669</v>
      </c>
    </row>
    <row r="339" spans="1:5" ht="13.5" customHeight="1" x14ac:dyDescent="0.3">
      <c r="A339" s="6" t="s">
        <v>27</v>
      </c>
      <c r="B339" s="6" t="s">
        <v>28</v>
      </c>
      <c r="C339" s="6" t="s">
        <v>19</v>
      </c>
      <c r="D339" s="8">
        <v>45785</v>
      </c>
      <c r="E339" s="7">
        <v>0.45833333333333331</v>
      </c>
    </row>
    <row r="340" spans="1:5" ht="13.5" customHeight="1" x14ac:dyDescent="0.3">
      <c r="A340" s="6" t="s">
        <v>27</v>
      </c>
      <c r="B340" s="6" t="s">
        <v>28</v>
      </c>
      <c r="C340" s="6" t="s">
        <v>19</v>
      </c>
      <c r="D340" s="8">
        <v>45786</v>
      </c>
      <c r="E340" s="7">
        <v>0.45833333333333331</v>
      </c>
    </row>
    <row r="341" spans="1:5" ht="13.5" customHeight="1" x14ac:dyDescent="0.3">
      <c r="A341" s="6" t="s">
        <v>27</v>
      </c>
      <c r="B341" s="6" t="s">
        <v>28</v>
      </c>
      <c r="C341" s="6" t="s">
        <v>19</v>
      </c>
      <c r="D341" s="8">
        <v>45789</v>
      </c>
      <c r="E341" s="7">
        <v>0.45833333333333331</v>
      </c>
    </row>
    <row r="342" spans="1:5" ht="13.5" customHeight="1" x14ac:dyDescent="0.3">
      <c r="A342" s="6" t="s">
        <v>9</v>
      </c>
      <c r="B342" s="6" t="s">
        <v>7</v>
      </c>
      <c r="C342" s="6" t="s">
        <v>20</v>
      </c>
      <c r="D342" s="8">
        <v>45785</v>
      </c>
      <c r="E342" s="7">
        <v>0.4375</v>
      </c>
    </row>
    <row r="343" spans="1:5" ht="13.5" customHeight="1" x14ac:dyDescent="0.3">
      <c r="A343" s="6" t="s">
        <v>9</v>
      </c>
      <c r="B343" s="6" t="s">
        <v>7</v>
      </c>
      <c r="C343" s="6" t="s">
        <v>20</v>
      </c>
      <c r="D343" s="8">
        <v>45785</v>
      </c>
      <c r="E343" s="7">
        <v>0.47916666666666669</v>
      </c>
    </row>
    <row r="344" spans="1:5" ht="13.5" customHeight="1" x14ac:dyDescent="0.3">
      <c r="A344" s="6" t="s">
        <v>9</v>
      </c>
      <c r="B344" s="6" t="s">
        <v>7</v>
      </c>
      <c r="C344" s="6" t="s">
        <v>20</v>
      </c>
      <c r="D344" s="8">
        <v>45785</v>
      </c>
      <c r="E344" s="7">
        <v>0.52083333333333337</v>
      </c>
    </row>
    <row r="345" spans="1:5" ht="13.5" customHeight="1" x14ac:dyDescent="0.3">
      <c r="A345" s="6" t="s">
        <v>15</v>
      </c>
      <c r="B345" s="6" t="s">
        <v>43</v>
      </c>
      <c r="C345" s="6" t="s">
        <v>19</v>
      </c>
      <c r="D345" s="8">
        <v>45785</v>
      </c>
      <c r="E345" s="7">
        <v>0.4375</v>
      </c>
    </row>
    <row r="346" spans="1:5" ht="13.5" customHeight="1" x14ac:dyDescent="0.3">
      <c r="A346" s="6" t="s">
        <v>15</v>
      </c>
      <c r="B346" s="6" t="s">
        <v>43</v>
      </c>
      <c r="C346" s="6" t="s">
        <v>19</v>
      </c>
      <c r="D346" s="8">
        <v>45785</v>
      </c>
      <c r="E346" s="7">
        <v>0.47916666666666669</v>
      </c>
    </row>
    <row r="347" spans="1:5" ht="13.5" customHeight="1" x14ac:dyDescent="0.3">
      <c r="A347" s="6" t="s">
        <v>23</v>
      </c>
      <c r="B347" s="6" t="s">
        <v>6</v>
      </c>
      <c r="C347" s="6" t="s">
        <v>19</v>
      </c>
      <c r="D347" s="8">
        <v>45785</v>
      </c>
      <c r="E347" s="7">
        <v>0.45833333333333331</v>
      </c>
    </row>
    <row r="348" spans="1:5" ht="13.5" customHeight="1" x14ac:dyDescent="0.3">
      <c r="A348" s="6" t="s">
        <v>23</v>
      </c>
      <c r="B348" s="6" t="s">
        <v>6</v>
      </c>
      <c r="C348" s="6" t="s">
        <v>19</v>
      </c>
      <c r="D348" s="8">
        <v>45785</v>
      </c>
      <c r="E348" s="7">
        <v>0.5</v>
      </c>
    </row>
    <row r="349" spans="1:5" ht="13.5" customHeight="1" x14ac:dyDescent="0.3">
      <c r="A349" s="6" t="s">
        <v>23</v>
      </c>
      <c r="B349" s="6" t="s">
        <v>6</v>
      </c>
      <c r="C349" s="6" t="s">
        <v>19</v>
      </c>
      <c r="D349" s="8">
        <v>45785</v>
      </c>
      <c r="E349" s="7">
        <v>0.54166666666666663</v>
      </c>
    </row>
    <row r="350" spans="1:5" ht="13.5" customHeight="1" x14ac:dyDescent="0.3">
      <c r="A350" s="6" t="s">
        <v>31</v>
      </c>
      <c r="B350" s="6" t="s">
        <v>14</v>
      </c>
      <c r="C350" s="6" t="s">
        <v>19</v>
      </c>
      <c r="D350" s="8">
        <v>45785</v>
      </c>
      <c r="E350" s="7">
        <v>0.41666666666666669</v>
      </c>
    </row>
    <row r="351" spans="1:5" ht="13.5" customHeight="1" x14ac:dyDescent="0.3">
      <c r="A351" s="6" t="s">
        <v>31</v>
      </c>
      <c r="B351" s="6" t="s">
        <v>14</v>
      </c>
      <c r="C351" s="6" t="s">
        <v>19</v>
      </c>
      <c r="D351" s="8">
        <v>45785</v>
      </c>
      <c r="E351" s="7">
        <v>0.45833333333333331</v>
      </c>
    </row>
    <row r="352" spans="1:5" ht="13.5" customHeight="1" x14ac:dyDescent="0.3">
      <c r="A352" s="6" t="s">
        <v>31</v>
      </c>
      <c r="B352" s="6" t="s">
        <v>14</v>
      </c>
      <c r="C352" s="6" t="s">
        <v>19</v>
      </c>
      <c r="D352" s="8">
        <v>45785</v>
      </c>
      <c r="E352" s="7">
        <v>0.5</v>
      </c>
    </row>
    <row r="353" spans="1:5" ht="13.5" customHeight="1" x14ac:dyDescent="0.3">
      <c r="A353" s="6" t="s">
        <v>12</v>
      </c>
      <c r="B353" s="6" t="s">
        <v>7</v>
      </c>
      <c r="C353" s="6" t="s">
        <v>19</v>
      </c>
      <c r="D353" s="8">
        <v>45786</v>
      </c>
      <c r="E353" s="7">
        <v>0.41666666666666669</v>
      </c>
    </row>
    <row r="354" spans="1:5" ht="13.5" customHeight="1" x14ac:dyDescent="0.3">
      <c r="A354" s="6" t="s">
        <v>12</v>
      </c>
      <c r="B354" s="6" t="s">
        <v>7</v>
      </c>
      <c r="C354" s="6" t="s">
        <v>19</v>
      </c>
      <c r="D354" s="8">
        <v>45786</v>
      </c>
      <c r="E354" s="7">
        <v>0.45833333333333331</v>
      </c>
    </row>
    <row r="355" spans="1:5" ht="13.5" customHeight="1" x14ac:dyDescent="0.3">
      <c r="A355" s="6" t="s">
        <v>12</v>
      </c>
      <c r="B355" s="6" t="s">
        <v>7</v>
      </c>
      <c r="C355" s="6" t="s">
        <v>19</v>
      </c>
      <c r="D355" s="8">
        <v>45786</v>
      </c>
      <c r="E355" s="7">
        <v>0.5</v>
      </c>
    </row>
    <row r="356" spans="1:5" ht="13.5" customHeight="1" x14ac:dyDescent="0.3">
      <c r="A356" s="6" t="s">
        <v>3</v>
      </c>
      <c r="B356" s="6" t="s">
        <v>7</v>
      </c>
      <c r="C356" s="6" t="s">
        <v>19</v>
      </c>
      <c r="D356" s="8">
        <v>45786</v>
      </c>
      <c r="E356" s="7">
        <v>0.39583333333333331</v>
      </c>
    </row>
    <row r="357" spans="1:5" ht="13.5" customHeight="1" x14ac:dyDescent="0.3">
      <c r="A357" s="6" t="s">
        <v>3</v>
      </c>
      <c r="B357" s="6" t="s">
        <v>7</v>
      </c>
      <c r="C357" s="6" t="s">
        <v>19</v>
      </c>
      <c r="D357" s="8">
        <v>45786</v>
      </c>
      <c r="E357" s="7">
        <v>0.4375</v>
      </c>
    </row>
    <row r="358" spans="1:5" ht="13.5" customHeight="1" x14ac:dyDescent="0.3">
      <c r="A358" s="6" t="s">
        <v>3</v>
      </c>
      <c r="B358" s="6" t="s">
        <v>7</v>
      </c>
      <c r="C358" s="6" t="s">
        <v>19</v>
      </c>
      <c r="D358" s="8">
        <v>45786</v>
      </c>
      <c r="E358" s="7">
        <v>0.47916666666666669</v>
      </c>
    </row>
    <row r="359" spans="1:5" ht="13.5" customHeight="1" x14ac:dyDescent="0.3">
      <c r="A359" s="6" t="s">
        <v>24</v>
      </c>
      <c r="B359" s="6" t="s">
        <v>16</v>
      </c>
      <c r="C359" s="6" t="s">
        <v>20</v>
      </c>
      <c r="D359" s="8">
        <v>45789</v>
      </c>
      <c r="E359" s="7">
        <v>0.41666666666666669</v>
      </c>
    </row>
    <row r="360" spans="1:5" ht="13.5" customHeight="1" x14ac:dyDescent="0.3">
      <c r="A360" s="6" t="s">
        <v>24</v>
      </c>
      <c r="B360" s="6" t="s">
        <v>16</v>
      </c>
      <c r="C360" s="6" t="s">
        <v>20</v>
      </c>
      <c r="D360" s="8">
        <v>45789</v>
      </c>
      <c r="E360" s="7">
        <v>0.45833333333333331</v>
      </c>
    </row>
    <row r="361" spans="1:5" ht="13.5" customHeight="1" x14ac:dyDescent="0.3">
      <c r="A361" s="6" t="s">
        <v>24</v>
      </c>
      <c r="B361" s="6" t="s">
        <v>7</v>
      </c>
      <c r="C361" s="6" t="s">
        <v>20</v>
      </c>
      <c r="D361" s="8">
        <v>45789</v>
      </c>
      <c r="E361" s="7">
        <v>0.5</v>
      </c>
    </row>
    <row r="362" spans="1:5" ht="13.5" customHeight="1" x14ac:dyDescent="0.3">
      <c r="A362" s="6" t="s">
        <v>29</v>
      </c>
      <c r="B362" s="6" t="s">
        <v>6</v>
      </c>
      <c r="C362" s="6" t="s">
        <v>19</v>
      </c>
      <c r="D362" s="8">
        <v>45789</v>
      </c>
      <c r="E362" s="7">
        <v>0.41666666666666669</v>
      </c>
    </row>
    <row r="363" spans="1:5" ht="13.5" customHeight="1" x14ac:dyDescent="0.3">
      <c r="A363" s="6" t="s">
        <v>29</v>
      </c>
      <c r="B363" s="6" t="s">
        <v>6</v>
      </c>
      <c r="C363" s="6" t="s">
        <v>19</v>
      </c>
      <c r="D363" s="8">
        <v>45789</v>
      </c>
      <c r="E363" s="7">
        <v>0.45833333333333331</v>
      </c>
    </row>
    <row r="364" spans="1:5" ht="13.5" customHeight="1" x14ac:dyDescent="0.3">
      <c r="A364" s="6" t="s">
        <v>10</v>
      </c>
      <c r="B364" s="6" t="s">
        <v>7</v>
      </c>
      <c r="C364" s="6" t="s">
        <v>20</v>
      </c>
      <c r="D364" s="8">
        <v>45789</v>
      </c>
      <c r="E364" s="7">
        <v>0.4236111111111111</v>
      </c>
    </row>
    <row r="365" spans="1:5" ht="13.5" customHeight="1" x14ac:dyDescent="0.3">
      <c r="A365" s="6" t="s">
        <v>10</v>
      </c>
      <c r="B365" s="6" t="s">
        <v>7</v>
      </c>
      <c r="C365" s="6" t="s">
        <v>20</v>
      </c>
      <c r="D365" s="8">
        <v>45789</v>
      </c>
      <c r="E365" s="7">
        <v>0.46527777777777779</v>
      </c>
    </row>
    <row r="366" spans="1:5" ht="13.5" customHeight="1" x14ac:dyDescent="0.3">
      <c r="A366" s="6" t="s">
        <v>10</v>
      </c>
      <c r="B366" s="6" t="s">
        <v>7</v>
      </c>
      <c r="C366" s="6" t="s">
        <v>20</v>
      </c>
      <c r="D366" s="8">
        <v>45789</v>
      </c>
      <c r="E366" s="7">
        <v>0.50694444444444442</v>
      </c>
    </row>
    <row r="367" spans="1:5" ht="13.5" customHeight="1" x14ac:dyDescent="0.3">
      <c r="A367" s="6" t="s">
        <v>11</v>
      </c>
      <c r="B367" s="6" t="s">
        <v>7</v>
      </c>
      <c r="C367" s="6" t="s">
        <v>19</v>
      </c>
      <c r="D367" s="8">
        <v>45792</v>
      </c>
      <c r="E367" s="7">
        <v>0.41666666666666669</v>
      </c>
    </row>
    <row r="368" spans="1:5" ht="13.5" customHeight="1" x14ac:dyDescent="0.3">
      <c r="A368" s="6" t="s">
        <v>11</v>
      </c>
      <c r="B368" s="6" t="s">
        <v>7</v>
      </c>
      <c r="C368" s="6" t="s">
        <v>19</v>
      </c>
      <c r="D368" s="8">
        <v>45792</v>
      </c>
      <c r="E368" s="7">
        <v>0.45833333333333331</v>
      </c>
    </row>
    <row r="369" spans="1:5" ht="13.5" customHeight="1" x14ac:dyDescent="0.3">
      <c r="A369" s="6" t="s">
        <v>11</v>
      </c>
      <c r="B369" s="6" t="s">
        <v>7</v>
      </c>
      <c r="C369" s="6" t="s">
        <v>19</v>
      </c>
      <c r="D369" s="8">
        <v>45792</v>
      </c>
      <c r="E369" s="7">
        <v>0.5</v>
      </c>
    </row>
    <row r="370" spans="1:5" ht="13.5" customHeight="1" x14ac:dyDescent="0.3">
      <c r="A370" s="6" t="s">
        <v>4</v>
      </c>
      <c r="B370" s="6" t="s">
        <v>8</v>
      </c>
      <c r="C370" s="6" t="s">
        <v>20</v>
      </c>
      <c r="D370" s="8">
        <v>45790</v>
      </c>
      <c r="E370" s="7">
        <v>0.45833333333333331</v>
      </c>
    </row>
    <row r="371" spans="1:5" ht="13.5" customHeight="1" x14ac:dyDescent="0.3">
      <c r="A371" s="6" t="s">
        <v>4</v>
      </c>
      <c r="B371" s="6" t="s">
        <v>7</v>
      </c>
      <c r="C371" s="6" t="s">
        <v>19</v>
      </c>
      <c r="D371" s="8">
        <v>45790</v>
      </c>
      <c r="E371" s="7">
        <v>0.5</v>
      </c>
    </row>
    <row r="372" spans="1:5" ht="13.5" customHeight="1" x14ac:dyDescent="0.3">
      <c r="A372" s="6" t="s">
        <v>4</v>
      </c>
      <c r="B372" s="6" t="s">
        <v>7</v>
      </c>
      <c r="C372" s="6" t="s">
        <v>20</v>
      </c>
      <c r="D372" s="8">
        <v>45790</v>
      </c>
      <c r="E372" s="7">
        <v>0.58333333333333337</v>
      </c>
    </row>
    <row r="373" spans="1:5" ht="13.5" customHeight="1" x14ac:dyDescent="0.3">
      <c r="A373" s="6" t="s">
        <v>17</v>
      </c>
      <c r="B373" s="6" t="s">
        <v>7</v>
      </c>
      <c r="C373" s="6" t="s">
        <v>19</v>
      </c>
      <c r="D373" s="8">
        <v>45790</v>
      </c>
      <c r="E373" s="7">
        <v>0.41666666666666669</v>
      </c>
    </row>
    <row r="374" spans="1:5" ht="13.5" customHeight="1" x14ac:dyDescent="0.3">
      <c r="A374" s="6" t="s">
        <v>17</v>
      </c>
      <c r="B374" s="6" t="s">
        <v>7</v>
      </c>
      <c r="C374" s="6" t="s">
        <v>19</v>
      </c>
      <c r="D374" s="8">
        <v>45790</v>
      </c>
      <c r="E374" s="7">
        <v>0.45833333333333331</v>
      </c>
    </row>
    <row r="375" spans="1:5" ht="13.5" customHeight="1" x14ac:dyDescent="0.3">
      <c r="A375" s="6" t="s">
        <v>13</v>
      </c>
      <c r="B375" s="6" t="s">
        <v>7</v>
      </c>
      <c r="C375" s="6" t="s">
        <v>19</v>
      </c>
      <c r="D375" s="8">
        <v>45791</v>
      </c>
      <c r="E375" s="7">
        <v>0.41666666666666669</v>
      </c>
    </row>
    <row r="376" spans="1:5" ht="13.5" customHeight="1" x14ac:dyDescent="0.3">
      <c r="A376" s="6" t="s">
        <v>13</v>
      </c>
      <c r="B376" s="6" t="s">
        <v>7</v>
      </c>
      <c r="C376" s="6" t="s">
        <v>19</v>
      </c>
      <c r="D376" s="8">
        <v>45791</v>
      </c>
      <c r="E376" s="7">
        <v>0.45833333333333331</v>
      </c>
    </row>
    <row r="377" spans="1:5" ht="13.5" customHeight="1" x14ac:dyDescent="0.3">
      <c r="A377" s="6" t="s">
        <v>18</v>
      </c>
      <c r="B377" s="6" t="s">
        <v>8</v>
      </c>
      <c r="C377" s="6" t="s">
        <v>19</v>
      </c>
      <c r="D377" s="8">
        <v>45791</v>
      </c>
      <c r="E377" s="7">
        <v>0.375</v>
      </c>
    </row>
    <row r="378" spans="1:5" ht="13.5" customHeight="1" x14ac:dyDescent="0.3">
      <c r="A378" s="6" t="s">
        <v>18</v>
      </c>
      <c r="B378" s="6" t="s">
        <v>7</v>
      </c>
      <c r="C378" s="6" t="s">
        <v>19</v>
      </c>
      <c r="D378" s="8">
        <v>45791</v>
      </c>
      <c r="E378" s="7">
        <v>0.41666666666666669</v>
      </c>
    </row>
    <row r="379" spans="1:5" ht="13.5" customHeight="1" x14ac:dyDescent="0.3">
      <c r="A379" s="6" t="s">
        <v>22</v>
      </c>
      <c r="B379" s="6" t="s">
        <v>14</v>
      </c>
      <c r="C379" s="6" t="s">
        <v>19</v>
      </c>
      <c r="D379" s="8">
        <v>45791</v>
      </c>
      <c r="E379" s="7">
        <v>0.625</v>
      </c>
    </row>
    <row r="380" spans="1:5" ht="13.5" customHeight="1" x14ac:dyDescent="0.3">
      <c r="A380" s="6" t="s">
        <v>22</v>
      </c>
      <c r="B380" s="6" t="s">
        <v>14</v>
      </c>
      <c r="C380" s="6" t="s">
        <v>19</v>
      </c>
      <c r="D380" s="8">
        <v>45791</v>
      </c>
      <c r="E380" s="7">
        <v>0.66666666666666663</v>
      </c>
    </row>
    <row r="381" spans="1:5" ht="13.5" customHeight="1" x14ac:dyDescent="0.3">
      <c r="A381" s="6" t="s">
        <v>27</v>
      </c>
      <c r="B381" s="6" t="s">
        <v>28</v>
      </c>
      <c r="C381" s="6" t="s">
        <v>19</v>
      </c>
      <c r="D381" s="8">
        <v>45790</v>
      </c>
      <c r="E381" s="7">
        <v>0.45833333333333331</v>
      </c>
    </row>
    <row r="382" spans="1:5" ht="13.5" customHeight="1" x14ac:dyDescent="0.3">
      <c r="A382" s="6" t="s">
        <v>27</v>
      </c>
      <c r="B382" s="6" t="s">
        <v>7</v>
      </c>
      <c r="C382" s="6" t="s">
        <v>19</v>
      </c>
      <c r="D382" s="8">
        <v>45791</v>
      </c>
      <c r="E382" s="7">
        <v>0.45833333333333331</v>
      </c>
    </row>
    <row r="383" spans="1:5" ht="13.5" customHeight="1" x14ac:dyDescent="0.3">
      <c r="A383" s="6" t="s">
        <v>27</v>
      </c>
      <c r="B383" s="6" t="s">
        <v>28</v>
      </c>
      <c r="C383" s="6" t="s">
        <v>19</v>
      </c>
      <c r="D383" s="8">
        <v>45792</v>
      </c>
      <c r="E383" s="7">
        <v>0.45833333333333331</v>
      </c>
    </row>
    <row r="384" spans="1:5" ht="13.5" customHeight="1" x14ac:dyDescent="0.3">
      <c r="A384" s="6" t="s">
        <v>9</v>
      </c>
      <c r="B384" s="6" t="s">
        <v>7</v>
      </c>
      <c r="C384" s="6" t="s">
        <v>20</v>
      </c>
      <c r="D384" s="8">
        <v>45792</v>
      </c>
      <c r="E384" s="7">
        <v>0.4375</v>
      </c>
    </row>
    <row r="385" spans="1:5" ht="13.5" customHeight="1" x14ac:dyDescent="0.3">
      <c r="A385" s="6" t="s">
        <v>9</v>
      </c>
      <c r="B385" s="6" t="s">
        <v>7</v>
      </c>
      <c r="C385" s="6" t="s">
        <v>20</v>
      </c>
      <c r="D385" s="8">
        <v>45792</v>
      </c>
      <c r="E385" s="7">
        <v>0.47916666666666669</v>
      </c>
    </row>
    <row r="386" spans="1:5" ht="13.5" customHeight="1" x14ac:dyDescent="0.3">
      <c r="A386" s="6" t="s">
        <v>9</v>
      </c>
      <c r="B386" s="6" t="s">
        <v>7</v>
      </c>
      <c r="C386" s="6" t="s">
        <v>20</v>
      </c>
      <c r="D386" s="8">
        <v>45792</v>
      </c>
      <c r="E386" s="7">
        <v>0.52083333333333337</v>
      </c>
    </row>
    <row r="387" spans="1:5" ht="13.5" customHeight="1" x14ac:dyDescent="0.3">
      <c r="A387" s="6" t="s">
        <v>15</v>
      </c>
      <c r="B387" s="6" t="s">
        <v>43</v>
      </c>
      <c r="C387" s="6" t="s">
        <v>19</v>
      </c>
      <c r="D387" s="8">
        <v>45793</v>
      </c>
      <c r="E387" s="7">
        <v>0.4375</v>
      </c>
    </row>
    <row r="388" spans="1:5" ht="13.5" customHeight="1" x14ac:dyDescent="0.3">
      <c r="A388" s="6" t="s">
        <v>15</v>
      </c>
      <c r="B388" s="6" t="s">
        <v>7</v>
      </c>
      <c r="C388" s="6" t="s">
        <v>19</v>
      </c>
      <c r="D388" s="8">
        <v>45793</v>
      </c>
      <c r="E388" s="7">
        <v>0.47916666666666669</v>
      </c>
    </row>
    <row r="389" spans="1:5" ht="13.5" customHeight="1" x14ac:dyDescent="0.3">
      <c r="A389" s="6" t="s">
        <v>23</v>
      </c>
      <c r="B389" s="6" t="s">
        <v>6</v>
      </c>
      <c r="C389" s="6" t="s">
        <v>19</v>
      </c>
      <c r="D389" s="8">
        <v>45792</v>
      </c>
      <c r="E389" s="7">
        <v>0.45833333333333331</v>
      </c>
    </row>
    <row r="390" spans="1:5" ht="13.5" customHeight="1" x14ac:dyDescent="0.3">
      <c r="A390" s="6" t="s">
        <v>23</v>
      </c>
      <c r="B390" s="6" t="s">
        <v>6</v>
      </c>
      <c r="C390" s="6" t="s">
        <v>19</v>
      </c>
      <c r="D390" s="8">
        <v>45792</v>
      </c>
      <c r="E390" s="7">
        <v>0.5</v>
      </c>
    </row>
    <row r="391" spans="1:5" ht="13.5" customHeight="1" x14ac:dyDescent="0.3">
      <c r="A391" s="6" t="s">
        <v>23</v>
      </c>
      <c r="B391" s="6" t="s">
        <v>6</v>
      </c>
      <c r="C391" s="6" t="s">
        <v>19</v>
      </c>
      <c r="D391" s="8">
        <v>45792</v>
      </c>
      <c r="E391" s="7">
        <v>0.54166666666666663</v>
      </c>
    </row>
    <row r="392" spans="1:5" ht="13.5" customHeight="1" x14ac:dyDescent="0.3">
      <c r="A392" s="6" t="s">
        <v>12</v>
      </c>
      <c r="B392" s="6" t="s">
        <v>7</v>
      </c>
      <c r="C392" s="6" t="s">
        <v>19</v>
      </c>
      <c r="D392" s="8">
        <v>45793</v>
      </c>
      <c r="E392" s="7">
        <v>0.41666666666666669</v>
      </c>
    </row>
    <row r="393" spans="1:5" ht="13.5" customHeight="1" x14ac:dyDescent="0.3">
      <c r="A393" s="6" t="s">
        <v>12</v>
      </c>
      <c r="B393" s="6" t="s">
        <v>7</v>
      </c>
      <c r="C393" s="6" t="s">
        <v>19</v>
      </c>
      <c r="D393" s="8">
        <v>45793</v>
      </c>
      <c r="E393" s="7">
        <v>0.45833333333333331</v>
      </c>
    </row>
    <row r="394" spans="1:5" ht="13.5" customHeight="1" x14ac:dyDescent="0.3">
      <c r="A394" s="6" t="s">
        <v>12</v>
      </c>
      <c r="B394" s="6" t="s">
        <v>7</v>
      </c>
      <c r="C394" s="6" t="s">
        <v>19</v>
      </c>
      <c r="D394" s="8">
        <v>45793</v>
      </c>
      <c r="E394" s="7">
        <v>0.5</v>
      </c>
    </row>
    <row r="395" spans="1:5" ht="13.5" customHeight="1" x14ac:dyDescent="0.3">
      <c r="A395" s="6" t="s">
        <v>3</v>
      </c>
      <c r="B395" s="6" t="s">
        <v>7</v>
      </c>
      <c r="C395" s="6" t="s">
        <v>19</v>
      </c>
      <c r="D395" s="8">
        <v>45793</v>
      </c>
      <c r="E395" s="7">
        <v>0.39583333333333331</v>
      </c>
    </row>
    <row r="396" spans="1:5" ht="13.5" customHeight="1" x14ac:dyDescent="0.3">
      <c r="A396" s="6" t="s">
        <v>3</v>
      </c>
      <c r="B396" s="6" t="s">
        <v>7</v>
      </c>
      <c r="C396" s="6" t="s">
        <v>19</v>
      </c>
      <c r="D396" s="8">
        <v>45793</v>
      </c>
      <c r="E396" s="7">
        <v>0.4375</v>
      </c>
    </row>
    <row r="397" spans="1:5" ht="13.5" customHeight="1" x14ac:dyDescent="0.3">
      <c r="A397" s="6" t="s">
        <v>3</v>
      </c>
      <c r="B397" s="6" t="s">
        <v>7</v>
      </c>
      <c r="C397" s="6" t="s">
        <v>19</v>
      </c>
      <c r="D397" s="8">
        <v>45793</v>
      </c>
      <c r="E397" s="7">
        <v>0.47916666666666669</v>
      </c>
    </row>
    <row r="398" spans="1:5" ht="13.5" customHeight="1" x14ac:dyDescent="0.3">
      <c r="A398" s="6" t="s">
        <v>30</v>
      </c>
      <c r="B398" s="6" t="s">
        <v>16</v>
      </c>
      <c r="C398" s="6" t="s">
        <v>19</v>
      </c>
      <c r="D398" s="8">
        <v>45794</v>
      </c>
      <c r="E398" s="7">
        <v>0.375</v>
      </c>
    </row>
    <row r="399" spans="1:5" ht="13.5" customHeight="1" x14ac:dyDescent="0.3">
      <c r="A399" s="6" t="s">
        <v>30</v>
      </c>
      <c r="B399" s="6" t="s">
        <v>16</v>
      </c>
      <c r="C399" s="6" t="s">
        <v>19</v>
      </c>
      <c r="D399" s="8">
        <v>45794</v>
      </c>
      <c r="E399" s="7">
        <v>0.41666666666666669</v>
      </c>
    </row>
    <row r="400" spans="1:5" ht="13.5" customHeight="1" x14ac:dyDescent="0.3">
      <c r="A400" s="6" t="s">
        <v>3</v>
      </c>
      <c r="B400" s="6" t="s">
        <v>7</v>
      </c>
      <c r="C400" s="6" t="s">
        <v>19</v>
      </c>
      <c r="D400" s="8">
        <v>45794</v>
      </c>
      <c r="E400" s="7">
        <v>0.375</v>
      </c>
    </row>
    <row r="401" spans="1:5" ht="13.5" customHeight="1" x14ac:dyDescent="0.3">
      <c r="A401" s="6" t="s">
        <v>3</v>
      </c>
      <c r="B401" s="6" t="s">
        <v>7</v>
      </c>
      <c r="C401" s="6" t="s">
        <v>19</v>
      </c>
      <c r="D401" s="8">
        <v>45794</v>
      </c>
      <c r="E401" s="7">
        <v>0.41666666666666669</v>
      </c>
    </row>
    <row r="402" spans="1:5" ht="13.5" customHeight="1" x14ac:dyDescent="0.3">
      <c r="A402" s="6" t="s">
        <v>24</v>
      </c>
      <c r="B402" s="6" t="s">
        <v>16</v>
      </c>
      <c r="C402" s="6" t="s">
        <v>19</v>
      </c>
      <c r="D402" s="8">
        <v>45794</v>
      </c>
      <c r="E402" s="7">
        <v>0.39583333333333331</v>
      </c>
    </row>
    <row r="403" spans="1:5" ht="13.5" customHeight="1" x14ac:dyDescent="0.3">
      <c r="A403" s="6" t="s">
        <v>24</v>
      </c>
      <c r="B403" s="6" t="s">
        <v>16</v>
      </c>
      <c r="C403" s="6" t="s">
        <v>19</v>
      </c>
      <c r="D403" s="8">
        <v>45794</v>
      </c>
      <c r="E403" s="7">
        <v>0.4375</v>
      </c>
    </row>
    <row r="404" spans="1:5" ht="13.5" customHeight="1" x14ac:dyDescent="0.3">
      <c r="A404" s="6" t="s">
        <v>27</v>
      </c>
      <c r="B404" s="6" t="s">
        <v>28</v>
      </c>
      <c r="C404" s="6" t="s">
        <v>19</v>
      </c>
      <c r="D404" s="8">
        <v>45793</v>
      </c>
      <c r="E404" s="7">
        <v>0.45833333333333331</v>
      </c>
    </row>
    <row r="405" spans="1:5" ht="13.5" customHeight="1" x14ac:dyDescent="0.3">
      <c r="A405" s="6" t="s">
        <v>27</v>
      </c>
      <c r="B405" s="6" t="s">
        <v>28</v>
      </c>
      <c r="C405" s="6" t="s">
        <v>19</v>
      </c>
      <c r="D405" s="8">
        <v>45794</v>
      </c>
      <c r="E405" s="7">
        <v>0.45833333333333331</v>
      </c>
    </row>
    <row r="406" spans="1:5" ht="13.5" customHeight="1" x14ac:dyDescent="0.3">
      <c r="A406" s="6" t="s">
        <v>24</v>
      </c>
      <c r="B406" s="6" t="s">
        <v>16</v>
      </c>
      <c r="C406" s="6" t="s">
        <v>20</v>
      </c>
      <c r="D406" s="8">
        <v>45796</v>
      </c>
      <c r="E406" s="7">
        <v>0.41666666666666669</v>
      </c>
    </row>
    <row r="407" spans="1:5" ht="13.5" customHeight="1" x14ac:dyDescent="0.3">
      <c r="A407" s="6" t="s">
        <v>24</v>
      </c>
      <c r="B407" s="6" t="s">
        <v>16</v>
      </c>
      <c r="C407" s="6" t="s">
        <v>20</v>
      </c>
      <c r="D407" s="8">
        <v>45796</v>
      </c>
      <c r="E407" s="7">
        <v>0.45833333333333331</v>
      </c>
    </row>
    <row r="408" spans="1:5" ht="13.5" customHeight="1" x14ac:dyDescent="0.3">
      <c r="A408" s="6" t="s">
        <v>24</v>
      </c>
      <c r="B408" s="6" t="s">
        <v>16</v>
      </c>
      <c r="C408" s="6" t="s">
        <v>20</v>
      </c>
      <c r="D408" s="8">
        <v>45796</v>
      </c>
      <c r="E408" s="7">
        <v>0.5</v>
      </c>
    </row>
    <row r="409" spans="1:5" ht="13.5" customHeight="1" x14ac:dyDescent="0.3">
      <c r="A409" s="6" t="s">
        <v>29</v>
      </c>
      <c r="B409" s="6" t="s">
        <v>6</v>
      </c>
      <c r="C409" s="6" t="s">
        <v>19</v>
      </c>
      <c r="D409" s="8">
        <v>45796</v>
      </c>
      <c r="E409" s="7">
        <v>0.41666666666666669</v>
      </c>
    </row>
    <row r="410" spans="1:5" ht="13.5" customHeight="1" x14ac:dyDescent="0.3">
      <c r="A410" s="6" t="s">
        <v>29</v>
      </c>
      <c r="B410" s="6" t="s">
        <v>7</v>
      </c>
      <c r="C410" s="6" t="s">
        <v>19</v>
      </c>
      <c r="D410" s="8">
        <v>45796</v>
      </c>
      <c r="E410" s="7">
        <v>0.45833333333333331</v>
      </c>
    </row>
    <row r="411" spans="1:5" ht="13.5" customHeight="1" x14ac:dyDescent="0.3">
      <c r="A411" s="6" t="s">
        <v>10</v>
      </c>
      <c r="B411" s="6" t="s">
        <v>7</v>
      </c>
      <c r="C411" s="6" t="s">
        <v>20</v>
      </c>
      <c r="D411" s="8">
        <v>45796</v>
      </c>
      <c r="E411" s="7">
        <v>0.4236111111111111</v>
      </c>
    </row>
    <row r="412" spans="1:5" ht="13.5" customHeight="1" x14ac:dyDescent="0.3">
      <c r="A412" s="6" t="s">
        <v>10</v>
      </c>
      <c r="B412" s="6" t="s">
        <v>7</v>
      </c>
      <c r="C412" s="6" t="s">
        <v>20</v>
      </c>
      <c r="D412" s="8">
        <v>45796</v>
      </c>
      <c r="E412" s="7">
        <v>0.46527777777777779</v>
      </c>
    </row>
    <row r="413" spans="1:5" ht="13.5" customHeight="1" x14ac:dyDescent="0.3">
      <c r="A413" s="6" t="s">
        <v>10</v>
      </c>
      <c r="B413" s="6" t="s">
        <v>7</v>
      </c>
      <c r="C413" s="6" t="s">
        <v>20</v>
      </c>
      <c r="D413" s="8">
        <v>45796</v>
      </c>
      <c r="E413" s="7">
        <v>0.50694444444444442</v>
      </c>
    </row>
    <row r="414" spans="1:5" ht="13.5" customHeight="1" x14ac:dyDescent="0.3">
      <c r="A414" s="6" t="s">
        <v>11</v>
      </c>
      <c r="B414" s="6" t="s">
        <v>7</v>
      </c>
      <c r="C414" s="6" t="s">
        <v>19</v>
      </c>
      <c r="D414" s="8">
        <v>45796</v>
      </c>
      <c r="E414" s="7">
        <v>0.41666666666666669</v>
      </c>
    </row>
    <row r="415" spans="1:5" ht="13.5" customHeight="1" x14ac:dyDescent="0.3">
      <c r="A415" s="6" t="s">
        <v>11</v>
      </c>
      <c r="B415" s="6" t="s">
        <v>7</v>
      </c>
      <c r="C415" s="6" t="s">
        <v>19</v>
      </c>
      <c r="D415" s="8">
        <v>45796</v>
      </c>
      <c r="E415" s="7">
        <v>0.45833333333333331</v>
      </c>
    </row>
    <row r="416" spans="1:5" ht="13.5" customHeight="1" x14ac:dyDescent="0.3">
      <c r="A416" s="6" t="s">
        <v>4</v>
      </c>
      <c r="B416" s="6" t="s">
        <v>8</v>
      </c>
      <c r="C416" s="6" t="s">
        <v>20</v>
      </c>
      <c r="D416" s="8">
        <v>45797</v>
      </c>
      <c r="E416" s="7">
        <v>0.45833333333333331</v>
      </c>
    </row>
    <row r="417" spans="1:5" ht="13.5" customHeight="1" x14ac:dyDescent="0.3">
      <c r="A417" s="6" t="s">
        <v>4</v>
      </c>
      <c r="B417" s="6" t="s">
        <v>7</v>
      </c>
      <c r="C417" s="6" t="s">
        <v>20</v>
      </c>
      <c r="D417" s="8">
        <v>45797</v>
      </c>
      <c r="E417" s="7">
        <v>0.5</v>
      </c>
    </row>
    <row r="418" spans="1:5" ht="13.5" customHeight="1" x14ac:dyDescent="0.3">
      <c r="A418" s="6" t="s">
        <v>4</v>
      </c>
      <c r="B418" s="6" t="s">
        <v>7</v>
      </c>
      <c r="C418" s="6" t="s">
        <v>20</v>
      </c>
      <c r="D418" s="8">
        <v>45797</v>
      </c>
      <c r="E418" s="7">
        <v>0.58333333333333337</v>
      </c>
    </row>
    <row r="419" spans="1:5" ht="13.5" customHeight="1" x14ac:dyDescent="0.3">
      <c r="A419" s="6" t="s">
        <v>17</v>
      </c>
      <c r="B419" s="6" t="s">
        <v>7</v>
      </c>
      <c r="C419" s="6" t="s">
        <v>19</v>
      </c>
      <c r="D419" s="8">
        <v>45797</v>
      </c>
      <c r="E419" s="7">
        <v>0.41666666666666669</v>
      </c>
    </row>
    <row r="420" spans="1:5" ht="13.5" customHeight="1" x14ac:dyDescent="0.3">
      <c r="A420" s="6" t="s">
        <v>17</v>
      </c>
      <c r="B420" s="6" t="s">
        <v>7</v>
      </c>
      <c r="C420" s="6" t="s">
        <v>19</v>
      </c>
      <c r="D420" s="8">
        <v>45797</v>
      </c>
      <c r="E420" s="7">
        <v>0.45833333333333331</v>
      </c>
    </row>
    <row r="421" spans="1:5" ht="13.5" customHeight="1" x14ac:dyDescent="0.3">
      <c r="A421" s="6" t="s">
        <v>13</v>
      </c>
      <c r="B421" s="6" t="s">
        <v>7</v>
      </c>
      <c r="C421" s="6" t="s">
        <v>19</v>
      </c>
      <c r="D421" s="8">
        <v>45798</v>
      </c>
      <c r="E421" s="7">
        <v>0.41666666666666669</v>
      </c>
    </row>
    <row r="422" spans="1:5" ht="13.5" customHeight="1" x14ac:dyDescent="0.3">
      <c r="A422" s="6" t="s">
        <v>13</v>
      </c>
      <c r="B422" s="6" t="s">
        <v>7</v>
      </c>
      <c r="C422" s="6" t="s">
        <v>19</v>
      </c>
      <c r="D422" s="8">
        <v>45798</v>
      </c>
      <c r="E422" s="7">
        <v>0.45833333333333331</v>
      </c>
    </row>
    <row r="423" spans="1:5" ht="13.5" customHeight="1" x14ac:dyDescent="0.3">
      <c r="A423" s="20" t="s">
        <v>18</v>
      </c>
      <c r="B423" s="6" t="s">
        <v>7</v>
      </c>
      <c r="C423" s="6" t="s">
        <v>19</v>
      </c>
      <c r="D423" s="8">
        <v>45798</v>
      </c>
      <c r="E423" s="7">
        <v>0.85416666666666663</v>
      </c>
    </row>
    <row r="424" spans="1:5" ht="13.5" customHeight="1" x14ac:dyDescent="0.3">
      <c r="A424" s="20" t="s">
        <v>18</v>
      </c>
      <c r="B424" s="6" t="s">
        <v>7</v>
      </c>
      <c r="C424" s="6" t="s">
        <v>19</v>
      </c>
      <c r="D424" s="8">
        <v>45798</v>
      </c>
      <c r="E424" s="7">
        <v>0.89583333333333337</v>
      </c>
    </row>
    <row r="425" spans="1:5" ht="13.5" customHeight="1" x14ac:dyDescent="0.3">
      <c r="A425" s="6" t="s">
        <v>9</v>
      </c>
      <c r="B425" s="6" t="s">
        <v>7</v>
      </c>
      <c r="C425" s="6" t="s">
        <v>20</v>
      </c>
      <c r="D425" s="8">
        <v>45799</v>
      </c>
      <c r="E425" s="7">
        <v>0.4375</v>
      </c>
    </row>
    <row r="426" spans="1:5" ht="13.5" customHeight="1" x14ac:dyDescent="0.3">
      <c r="A426" s="6" t="s">
        <v>9</v>
      </c>
      <c r="B426" s="6" t="s">
        <v>7</v>
      </c>
      <c r="C426" s="6" t="s">
        <v>20</v>
      </c>
      <c r="D426" s="8">
        <v>45799</v>
      </c>
      <c r="E426" s="7">
        <v>0.47916666666666669</v>
      </c>
    </row>
    <row r="427" spans="1:5" ht="13.5" customHeight="1" x14ac:dyDescent="0.3">
      <c r="A427" s="6" t="s">
        <v>9</v>
      </c>
      <c r="B427" s="6" t="s">
        <v>7</v>
      </c>
      <c r="C427" s="6" t="s">
        <v>20</v>
      </c>
      <c r="D427" s="8">
        <v>45799</v>
      </c>
      <c r="E427" s="7">
        <v>0.52083333333333337</v>
      </c>
    </row>
    <row r="428" spans="1:5" ht="13.5" customHeight="1" x14ac:dyDescent="0.3">
      <c r="A428" s="6" t="s">
        <v>15</v>
      </c>
      <c r="B428" s="6" t="s">
        <v>43</v>
      </c>
      <c r="C428" s="6" t="s">
        <v>19</v>
      </c>
      <c r="D428" s="8">
        <v>45799</v>
      </c>
      <c r="E428" s="7">
        <v>0.4375</v>
      </c>
    </row>
    <row r="429" spans="1:5" ht="13.5" customHeight="1" x14ac:dyDescent="0.3">
      <c r="A429" s="6" t="s">
        <v>15</v>
      </c>
      <c r="B429" s="6" t="s">
        <v>43</v>
      </c>
      <c r="C429" s="6" t="s">
        <v>19</v>
      </c>
      <c r="D429" s="8">
        <v>45799</v>
      </c>
      <c r="E429" s="7">
        <v>0.47916666666666669</v>
      </c>
    </row>
    <row r="430" spans="1:5" ht="13.5" customHeight="1" x14ac:dyDescent="0.3">
      <c r="A430" s="20" t="s">
        <v>23</v>
      </c>
      <c r="B430" s="6" t="s">
        <v>6</v>
      </c>
      <c r="C430" s="6" t="s">
        <v>19</v>
      </c>
      <c r="D430" s="8">
        <v>45799</v>
      </c>
      <c r="E430" s="7">
        <v>0.77083333333333337</v>
      </c>
    </row>
    <row r="431" spans="1:5" ht="13.5" customHeight="1" x14ac:dyDescent="0.3">
      <c r="A431" s="6" t="s">
        <v>23</v>
      </c>
      <c r="B431" s="6" t="s">
        <v>6</v>
      </c>
      <c r="C431" s="6" t="s">
        <v>19</v>
      </c>
      <c r="D431" s="8">
        <v>45799</v>
      </c>
      <c r="E431" s="7">
        <v>0.5</v>
      </c>
    </row>
    <row r="432" spans="1:5" ht="13.5" customHeight="1" x14ac:dyDescent="0.3">
      <c r="A432" s="6" t="s">
        <v>23</v>
      </c>
      <c r="B432" s="6" t="s">
        <v>6</v>
      </c>
      <c r="C432" s="6" t="s">
        <v>19</v>
      </c>
      <c r="D432" s="8">
        <v>45799</v>
      </c>
      <c r="E432" s="7">
        <v>0.54166666666666663</v>
      </c>
    </row>
    <row r="433" spans="1:5" ht="13.5" customHeight="1" x14ac:dyDescent="0.3">
      <c r="A433" s="6" t="s">
        <v>31</v>
      </c>
      <c r="B433" s="6" t="s">
        <v>14</v>
      </c>
      <c r="C433" s="6" t="s">
        <v>19</v>
      </c>
      <c r="D433" s="8">
        <v>45799</v>
      </c>
      <c r="E433" s="7">
        <v>0.41666666666666669</v>
      </c>
    </row>
    <row r="434" spans="1:5" ht="13.5" customHeight="1" x14ac:dyDescent="0.3">
      <c r="A434" s="6" t="s">
        <v>31</v>
      </c>
      <c r="B434" s="6" t="s">
        <v>14</v>
      </c>
      <c r="C434" s="6" t="s">
        <v>19</v>
      </c>
      <c r="D434" s="8">
        <v>45799</v>
      </c>
      <c r="E434" s="7">
        <v>0.45833333333333331</v>
      </c>
    </row>
    <row r="435" spans="1:5" ht="13.5" customHeight="1" x14ac:dyDescent="0.3">
      <c r="A435" s="6" t="s">
        <v>12</v>
      </c>
      <c r="B435" s="6" t="s">
        <v>7</v>
      </c>
      <c r="C435" s="6" t="s">
        <v>19</v>
      </c>
      <c r="D435" s="8">
        <v>45800</v>
      </c>
      <c r="E435" s="7">
        <v>0.41666666666666669</v>
      </c>
    </row>
    <row r="436" spans="1:5" ht="13.5" customHeight="1" x14ac:dyDescent="0.3">
      <c r="A436" s="6" t="s">
        <v>12</v>
      </c>
      <c r="B436" s="6" t="s">
        <v>7</v>
      </c>
      <c r="C436" s="6" t="s">
        <v>19</v>
      </c>
      <c r="D436" s="8">
        <v>45800</v>
      </c>
      <c r="E436" s="7">
        <v>0.45833333333333331</v>
      </c>
    </row>
    <row r="437" spans="1:5" ht="13.5" customHeight="1" x14ac:dyDescent="0.3">
      <c r="A437" s="6" t="s">
        <v>3</v>
      </c>
      <c r="B437" s="6" t="s">
        <v>7</v>
      </c>
      <c r="C437" s="6" t="s">
        <v>19</v>
      </c>
      <c r="D437" s="8">
        <v>45800</v>
      </c>
      <c r="E437" s="7">
        <v>0.39583333333333331</v>
      </c>
    </row>
    <row r="438" spans="1:5" ht="13.5" customHeight="1" x14ac:dyDescent="0.3">
      <c r="A438" s="6" t="s">
        <v>3</v>
      </c>
      <c r="B438" s="6" t="s">
        <v>7</v>
      </c>
      <c r="C438" s="6" t="s">
        <v>19</v>
      </c>
      <c r="D438" s="8">
        <v>45800</v>
      </c>
      <c r="E438" s="7">
        <v>0.4375</v>
      </c>
    </row>
    <row r="439" spans="1:5" ht="13.5" customHeight="1" x14ac:dyDescent="0.3">
      <c r="A439" s="6" t="s">
        <v>24</v>
      </c>
      <c r="B439" s="6" t="s">
        <v>16</v>
      </c>
      <c r="C439" s="6" t="s">
        <v>20</v>
      </c>
      <c r="D439" s="8">
        <v>45803</v>
      </c>
      <c r="E439" s="7">
        <v>0.41666666666666669</v>
      </c>
    </row>
    <row r="440" spans="1:5" ht="13.5" customHeight="1" x14ac:dyDescent="0.3">
      <c r="A440" s="6" t="s">
        <v>24</v>
      </c>
      <c r="B440" s="6" t="s">
        <v>16</v>
      </c>
      <c r="C440" s="6" t="s">
        <v>20</v>
      </c>
      <c r="D440" s="8">
        <v>45803</v>
      </c>
      <c r="E440" s="7">
        <v>0.45833333333333331</v>
      </c>
    </row>
    <row r="441" spans="1:5" ht="13.5" customHeight="1" x14ac:dyDescent="0.3">
      <c r="A441" s="6" t="s">
        <v>24</v>
      </c>
      <c r="B441" s="6" t="s">
        <v>16</v>
      </c>
      <c r="C441" s="6" t="s">
        <v>20</v>
      </c>
      <c r="D441" s="8">
        <v>45803</v>
      </c>
      <c r="E441" s="7">
        <v>0.5</v>
      </c>
    </row>
    <row r="442" spans="1:5" ht="13.5" customHeight="1" x14ac:dyDescent="0.3">
      <c r="A442" s="6" t="s">
        <v>29</v>
      </c>
      <c r="B442" s="6" t="s">
        <v>6</v>
      </c>
      <c r="C442" s="6" t="s">
        <v>19</v>
      </c>
      <c r="D442" s="8">
        <v>45803</v>
      </c>
      <c r="E442" s="7">
        <v>0.41666666666666669</v>
      </c>
    </row>
    <row r="443" spans="1:5" ht="13.5" customHeight="1" x14ac:dyDescent="0.3">
      <c r="A443" s="6" t="s">
        <v>29</v>
      </c>
      <c r="B443" s="6" t="s">
        <v>6</v>
      </c>
      <c r="C443" s="6" t="s">
        <v>19</v>
      </c>
      <c r="D443" s="8">
        <v>45803</v>
      </c>
      <c r="E443" s="7">
        <v>0.45833333333333331</v>
      </c>
    </row>
    <row r="444" spans="1:5" ht="13.5" customHeight="1" x14ac:dyDescent="0.3">
      <c r="A444" s="6" t="s">
        <v>10</v>
      </c>
      <c r="B444" s="6" t="s">
        <v>7</v>
      </c>
      <c r="C444" s="6" t="s">
        <v>20</v>
      </c>
      <c r="D444" s="8">
        <v>45803</v>
      </c>
      <c r="E444" s="7">
        <v>0.4236111111111111</v>
      </c>
    </row>
    <row r="445" spans="1:5" ht="13.5" customHeight="1" x14ac:dyDescent="0.3">
      <c r="A445" s="6" t="s">
        <v>10</v>
      </c>
      <c r="B445" s="6" t="s">
        <v>7</v>
      </c>
      <c r="C445" s="6" t="s">
        <v>20</v>
      </c>
      <c r="D445" s="8">
        <v>45803</v>
      </c>
      <c r="E445" s="7">
        <v>0.46527777777777779</v>
      </c>
    </row>
    <row r="446" spans="1:5" ht="13.5" customHeight="1" x14ac:dyDescent="0.3">
      <c r="A446" s="6" t="s">
        <v>10</v>
      </c>
      <c r="B446" s="6" t="s">
        <v>7</v>
      </c>
      <c r="C446" s="6" t="s">
        <v>20</v>
      </c>
      <c r="D446" s="8">
        <v>45803</v>
      </c>
      <c r="E446" s="7">
        <v>0.50694444444444442</v>
      </c>
    </row>
    <row r="447" spans="1:5" ht="13.5" customHeight="1" x14ac:dyDescent="0.3">
      <c r="A447" s="6" t="s">
        <v>11</v>
      </c>
      <c r="B447" s="6" t="s">
        <v>7</v>
      </c>
      <c r="C447" s="6" t="s">
        <v>19</v>
      </c>
      <c r="D447" s="8">
        <v>45803</v>
      </c>
      <c r="E447" s="7">
        <v>0.41666666666666669</v>
      </c>
    </row>
    <row r="448" spans="1:5" ht="13.5" customHeight="1" x14ac:dyDescent="0.3">
      <c r="A448" s="6" t="s">
        <v>11</v>
      </c>
      <c r="B448" s="6" t="s">
        <v>7</v>
      </c>
      <c r="C448" s="6" t="s">
        <v>19</v>
      </c>
      <c r="D448" s="8">
        <v>45803</v>
      </c>
      <c r="E448" s="7">
        <v>0.45833333333333331</v>
      </c>
    </row>
    <row r="449" spans="1:5" ht="13.5" customHeight="1" x14ac:dyDescent="0.3">
      <c r="A449" s="6" t="s">
        <v>4</v>
      </c>
      <c r="B449" s="6" t="s">
        <v>7</v>
      </c>
      <c r="C449" s="6" t="s">
        <v>20</v>
      </c>
      <c r="D449" s="8">
        <v>45804</v>
      </c>
      <c r="E449" s="7">
        <v>0.45833333333333331</v>
      </c>
    </row>
    <row r="450" spans="1:5" ht="13.5" customHeight="1" x14ac:dyDescent="0.3">
      <c r="A450" s="6" t="s">
        <v>4</v>
      </c>
      <c r="B450" s="6" t="s">
        <v>7</v>
      </c>
      <c r="C450" s="6" t="s">
        <v>20</v>
      </c>
      <c r="D450" s="8">
        <v>45804</v>
      </c>
      <c r="E450" s="7">
        <v>0.5</v>
      </c>
    </row>
    <row r="451" spans="1:5" ht="13.5" customHeight="1" x14ac:dyDescent="0.3">
      <c r="A451" s="6" t="s">
        <v>4</v>
      </c>
      <c r="B451" s="6" t="s">
        <v>7</v>
      </c>
      <c r="C451" s="6" t="s">
        <v>20</v>
      </c>
      <c r="D451" s="8">
        <v>45804</v>
      </c>
      <c r="E451" s="7">
        <v>0.58333333333333337</v>
      </c>
    </row>
    <row r="452" spans="1:5" ht="13.5" customHeight="1" x14ac:dyDescent="0.3">
      <c r="A452" s="6" t="s">
        <v>17</v>
      </c>
      <c r="B452" s="6" t="s">
        <v>7</v>
      </c>
      <c r="C452" s="6" t="s">
        <v>19</v>
      </c>
      <c r="D452" s="8">
        <v>45804</v>
      </c>
      <c r="E452" s="7">
        <v>0.41666666666666669</v>
      </c>
    </row>
    <row r="453" spans="1:5" ht="13.5" customHeight="1" x14ac:dyDescent="0.3">
      <c r="A453" s="6" t="s">
        <v>17</v>
      </c>
      <c r="B453" s="6" t="s">
        <v>7</v>
      </c>
      <c r="C453" s="6" t="s">
        <v>19</v>
      </c>
      <c r="D453" s="8">
        <v>45804</v>
      </c>
      <c r="E453" s="7">
        <v>0.45833333333333331</v>
      </c>
    </row>
    <row r="454" spans="1:5" ht="13.5" customHeight="1" x14ac:dyDescent="0.3">
      <c r="A454" s="6" t="s">
        <v>13</v>
      </c>
      <c r="B454" s="6" t="s">
        <v>7</v>
      </c>
      <c r="C454" s="6" t="s">
        <v>19</v>
      </c>
      <c r="D454" s="8">
        <v>45805</v>
      </c>
      <c r="E454" s="7">
        <v>0.41666666666666669</v>
      </c>
    </row>
    <row r="455" spans="1:5" ht="13.5" customHeight="1" x14ac:dyDescent="0.3">
      <c r="A455" s="6" t="s">
        <v>13</v>
      </c>
      <c r="B455" s="6" t="s">
        <v>7</v>
      </c>
      <c r="C455" s="6" t="s">
        <v>19</v>
      </c>
      <c r="D455" s="8">
        <v>45805</v>
      </c>
      <c r="E455" s="7">
        <v>0.45833333333333331</v>
      </c>
    </row>
    <row r="456" spans="1:5" ht="13.5" customHeight="1" x14ac:dyDescent="0.3">
      <c r="A456" s="6" t="s">
        <v>18</v>
      </c>
      <c r="B456" s="6" t="s">
        <v>7</v>
      </c>
      <c r="C456" s="6" t="s">
        <v>19</v>
      </c>
      <c r="D456" s="8">
        <v>45805</v>
      </c>
      <c r="E456" s="7">
        <v>0.4375</v>
      </c>
    </row>
    <row r="457" spans="1:5" ht="13.5" customHeight="1" x14ac:dyDescent="0.3">
      <c r="A457" s="6" t="s">
        <v>18</v>
      </c>
      <c r="B457" s="6" t="s">
        <v>7</v>
      </c>
      <c r="C457" s="6" t="s">
        <v>19</v>
      </c>
      <c r="D457" s="8">
        <v>45805</v>
      </c>
      <c r="E457" s="7">
        <v>0.47916666666666669</v>
      </c>
    </row>
    <row r="458" spans="1:5" ht="13.5" customHeight="1" x14ac:dyDescent="0.3">
      <c r="A458" s="6" t="s">
        <v>22</v>
      </c>
      <c r="B458" s="6" t="s">
        <v>14</v>
      </c>
      <c r="C458" s="6" t="s">
        <v>19</v>
      </c>
      <c r="D458" s="8">
        <v>45805</v>
      </c>
      <c r="E458" s="7">
        <v>0.625</v>
      </c>
    </row>
    <row r="459" spans="1:5" ht="13.5" customHeight="1" x14ac:dyDescent="0.3">
      <c r="A459" s="6" t="s">
        <v>22</v>
      </c>
      <c r="B459" s="6" t="s">
        <v>14</v>
      </c>
      <c r="C459" s="6" t="s">
        <v>19</v>
      </c>
      <c r="D459" s="8">
        <v>45805</v>
      </c>
      <c r="E459" s="7">
        <v>0.66666666666666663</v>
      </c>
    </row>
    <row r="460" spans="1:5" ht="13.5" customHeight="1" x14ac:dyDescent="0.3">
      <c r="A460" s="6" t="s">
        <v>9</v>
      </c>
      <c r="B460" s="6" t="s">
        <v>7</v>
      </c>
      <c r="C460" s="6" t="s">
        <v>20</v>
      </c>
      <c r="D460" s="8">
        <v>45806</v>
      </c>
      <c r="E460" s="7">
        <v>0.4375</v>
      </c>
    </row>
    <row r="461" spans="1:5" ht="13.5" customHeight="1" x14ac:dyDescent="0.3">
      <c r="A461" s="6" t="s">
        <v>9</v>
      </c>
      <c r="B461" s="6" t="s">
        <v>7</v>
      </c>
      <c r="C461" s="6" t="s">
        <v>20</v>
      </c>
      <c r="D461" s="8">
        <v>45806</v>
      </c>
      <c r="E461" s="7">
        <v>0.47916666666666669</v>
      </c>
    </row>
    <row r="462" spans="1:5" ht="13.5" customHeight="1" x14ac:dyDescent="0.3">
      <c r="A462" s="6" t="s">
        <v>9</v>
      </c>
      <c r="B462" s="6" t="s">
        <v>7</v>
      </c>
      <c r="C462" s="6" t="s">
        <v>20</v>
      </c>
      <c r="D462" s="8">
        <v>45806</v>
      </c>
      <c r="E462" s="7">
        <v>0.52083333333333337</v>
      </c>
    </row>
    <row r="463" spans="1:5" ht="13.5" customHeight="1" x14ac:dyDescent="0.3">
      <c r="A463" s="20" t="s">
        <v>15</v>
      </c>
      <c r="B463" s="6" t="s">
        <v>7</v>
      </c>
      <c r="C463" s="6" t="s">
        <v>19</v>
      </c>
      <c r="D463" s="22">
        <v>45807</v>
      </c>
      <c r="E463" s="7">
        <v>0.625</v>
      </c>
    </row>
    <row r="464" spans="1:5" ht="13.5" customHeight="1" x14ac:dyDescent="0.3">
      <c r="A464" s="20" t="s">
        <v>15</v>
      </c>
      <c r="B464" s="6" t="s">
        <v>7</v>
      </c>
      <c r="C464" s="6" t="s">
        <v>19</v>
      </c>
      <c r="D464" s="22">
        <v>45805</v>
      </c>
      <c r="E464" s="7">
        <v>0.47916666666666669</v>
      </c>
    </row>
    <row r="465" spans="1:5" ht="13.5" customHeight="1" x14ac:dyDescent="0.3">
      <c r="A465" s="6" t="s">
        <v>23</v>
      </c>
      <c r="B465" s="6" t="s">
        <v>6</v>
      </c>
      <c r="C465" s="6" t="s">
        <v>19</v>
      </c>
      <c r="D465" s="8">
        <v>45806</v>
      </c>
      <c r="E465" s="7">
        <v>0.45833333333333331</v>
      </c>
    </row>
    <row r="466" spans="1:5" ht="13.5" customHeight="1" x14ac:dyDescent="0.3">
      <c r="A466" s="6" t="s">
        <v>23</v>
      </c>
      <c r="B466" s="6" t="s">
        <v>6</v>
      </c>
      <c r="C466" s="6" t="s">
        <v>19</v>
      </c>
      <c r="D466" s="8">
        <v>45806</v>
      </c>
      <c r="E466" s="7">
        <v>0.5</v>
      </c>
    </row>
    <row r="467" spans="1:5" ht="13.5" customHeight="1" x14ac:dyDescent="0.3">
      <c r="A467" s="6" t="s">
        <v>23</v>
      </c>
      <c r="B467" s="6" t="s">
        <v>6</v>
      </c>
      <c r="C467" s="6" t="s">
        <v>19</v>
      </c>
      <c r="D467" s="8">
        <v>45806</v>
      </c>
      <c r="E467" s="7">
        <v>0.54166666666666663</v>
      </c>
    </row>
    <row r="468" spans="1:5" ht="13.5" customHeight="1" x14ac:dyDescent="0.3">
      <c r="A468" s="6" t="s">
        <v>24</v>
      </c>
      <c r="B468" s="6" t="s">
        <v>16</v>
      </c>
      <c r="C468" s="6" t="s">
        <v>19</v>
      </c>
      <c r="D468" s="8">
        <v>45824</v>
      </c>
      <c r="E468" s="7">
        <v>0.41666666666666669</v>
      </c>
    </row>
    <row r="469" spans="1:5" ht="13.5" customHeight="1" x14ac:dyDescent="0.3">
      <c r="A469" s="6" t="s">
        <v>24</v>
      </c>
      <c r="B469" s="6" t="s">
        <v>16</v>
      </c>
      <c r="C469" s="6" t="s">
        <v>19</v>
      </c>
      <c r="D469" s="8">
        <v>45824</v>
      </c>
      <c r="E469" s="7">
        <v>0.45833333333333331</v>
      </c>
    </row>
    <row r="470" spans="1:5" ht="13.5" customHeight="1" x14ac:dyDescent="0.3">
      <c r="A470" s="6" t="s">
        <v>29</v>
      </c>
      <c r="B470" s="6" t="s">
        <v>6</v>
      </c>
      <c r="C470" s="6" t="s">
        <v>19</v>
      </c>
      <c r="D470" s="8">
        <v>45824</v>
      </c>
      <c r="E470" s="7">
        <v>0.41666666666666669</v>
      </c>
    </row>
    <row r="471" spans="1:5" ht="13.5" customHeight="1" x14ac:dyDescent="0.3">
      <c r="A471" s="6" t="s">
        <v>29</v>
      </c>
      <c r="B471" s="6" t="s">
        <v>6</v>
      </c>
      <c r="C471" s="6" t="s">
        <v>19</v>
      </c>
      <c r="D471" s="8">
        <v>45824</v>
      </c>
      <c r="E471" s="7">
        <v>0.45833333333333331</v>
      </c>
    </row>
    <row r="472" spans="1:5" ht="13.5" customHeight="1" x14ac:dyDescent="0.3">
      <c r="A472" s="6" t="s">
        <v>10</v>
      </c>
      <c r="B472" s="6" t="s">
        <v>7</v>
      </c>
      <c r="C472" s="6" t="s">
        <v>19</v>
      </c>
      <c r="D472" s="8">
        <v>45824</v>
      </c>
      <c r="E472" s="7">
        <v>0.4236111111111111</v>
      </c>
    </row>
    <row r="473" spans="1:5" ht="13.5" customHeight="1" x14ac:dyDescent="0.3">
      <c r="A473" s="6" t="s">
        <v>10</v>
      </c>
      <c r="B473" s="6" t="s">
        <v>7</v>
      </c>
      <c r="C473" s="6" t="s">
        <v>19</v>
      </c>
      <c r="D473" s="8">
        <v>45824</v>
      </c>
      <c r="E473" s="7">
        <v>0.46527777777777779</v>
      </c>
    </row>
    <row r="474" spans="1:5" ht="13.5" customHeight="1" x14ac:dyDescent="0.3">
      <c r="A474" s="6" t="s">
        <v>11</v>
      </c>
      <c r="B474" s="6" t="s">
        <v>7</v>
      </c>
      <c r="C474" s="6" t="s">
        <v>19</v>
      </c>
      <c r="D474" s="8">
        <v>45824</v>
      </c>
      <c r="E474" s="7">
        <v>0.41666666666666669</v>
      </c>
    </row>
    <row r="475" spans="1:5" ht="13.5" customHeight="1" x14ac:dyDescent="0.3">
      <c r="A475" s="6" t="s">
        <v>11</v>
      </c>
      <c r="B475" s="6" t="s">
        <v>7</v>
      </c>
      <c r="C475" s="6" t="s">
        <v>19</v>
      </c>
      <c r="D475" s="8">
        <v>45824</v>
      </c>
      <c r="E475" s="7">
        <v>0.45833333333333331</v>
      </c>
    </row>
    <row r="476" spans="1:5" ht="13.5" customHeight="1" x14ac:dyDescent="0.3">
      <c r="A476" s="6" t="s">
        <v>4</v>
      </c>
      <c r="B476" s="6" t="s">
        <v>8</v>
      </c>
      <c r="C476" s="6" t="s">
        <v>19</v>
      </c>
      <c r="D476" s="8">
        <v>45825</v>
      </c>
      <c r="E476" s="7">
        <v>0.45833333333333331</v>
      </c>
    </row>
    <row r="477" spans="1:5" ht="13.5" customHeight="1" x14ac:dyDescent="0.3">
      <c r="A477" s="6" t="s">
        <v>4</v>
      </c>
      <c r="B477" s="6" t="s">
        <v>7</v>
      </c>
      <c r="C477" s="6" t="s">
        <v>19</v>
      </c>
      <c r="D477" s="8">
        <v>45825</v>
      </c>
      <c r="E477" s="7">
        <v>0.5</v>
      </c>
    </row>
    <row r="478" spans="1:5" ht="13.5" customHeight="1" x14ac:dyDescent="0.3">
      <c r="A478" s="6" t="s">
        <v>4</v>
      </c>
      <c r="B478" s="6" t="s">
        <v>7</v>
      </c>
      <c r="C478" s="6" t="s">
        <v>19</v>
      </c>
      <c r="D478" s="8">
        <v>45825</v>
      </c>
      <c r="E478" s="7">
        <v>0.58333333333333337</v>
      </c>
    </row>
    <row r="479" spans="1:5" ht="13.5" customHeight="1" x14ac:dyDescent="0.3">
      <c r="A479" s="6" t="s">
        <v>17</v>
      </c>
      <c r="B479" s="6" t="s">
        <v>6</v>
      </c>
      <c r="C479" s="6" t="s">
        <v>19</v>
      </c>
      <c r="D479" s="8">
        <v>45825</v>
      </c>
      <c r="E479" s="7">
        <v>0.41666666666666669</v>
      </c>
    </row>
    <row r="480" spans="1:5" ht="13.5" customHeight="1" x14ac:dyDescent="0.3">
      <c r="A480" s="6" t="s">
        <v>17</v>
      </c>
      <c r="B480" s="6" t="s">
        <v>6</v>
      </c>
      <c r="C480" s="6" t="s">
        <v>19</v>
      </c>
      <c r="D480" s="8">
        <v>45825</v>
      </c>
      <c r="E480" s="7">
        <v>0.45833333333333331</v>
      </c>
    </row>
    <row r="481" spans="1:5" ht="13.5" customHeight="1" x14ac:dyDescent="0.3">
      <c r="A481" s="6" t="s">
        <v>13</v>
      </c>
      <c r="B481" s="6" t="s">
        <v>6</v>
      </c>
      <c r="C481" s="6" t="s">
        <v>19</v>
      </c>
      <c r="D481" s="8">
        <v>45826</v>
      </c>
      <c r="E481" s="7">
        <v>0.41666666666666669</v>
      </c>
    </row>
    <row r="482" spans="1:5" ht="13.5" customHeight="1" x14ac:dyDescent="0.3">
      <c r="A482" s="6" t="s">
        <v>13</v>
      </c>
      <c r="B482" s="6" t="s">
        <v>6</v>
      </c>
      <c r="C482" s="6" t="s">
        <v>19</v>
      </c>
      <c r="D482" s="8">
        <v>45826</v>
      </c>
      <c r="E482" s="7">
        <v>0.45833333333333331</v>
      </c>
    </row>
    <row r="483" spans="1:5" ht="13.5" customHeight="1" x14ac:dyDescent="0.3">
      <c r="A483" s="6" t="s">
        <v>18</v>
      </c>
      <c r="B483" s="6" t="s">
        <v>7</v>
      </c>
      <c r="C483" s="6" t="s">
        <v>19</v>
      </c>
      <c r="D483" s="8">
        <v>45826</v>
      </c>
      <c r="E483" s="7">
        <v>0.4375</v>
      </c>
    </row>
    <row r="484" spans="1:5" ht="13.5" customHeight="1" x14ac:dyDescent="0.3">
      <c r="A484" s="6" t="s">
        <v>18</v>
      </c>
      <c r="B484" s="6" t="s">
        <v>7</v>
      </c>
      <c r="C484" s="6" t="s">
        <v>19</v>
      </c>
      <c r="D484" s="8">
        <v>45826</v>
      </c>
      <c r="E484" s="7">
        <v>0.47916666666666669</v>
      </c>
    </row>
    <row r="485" spans="1:5" ht="13.5" customHeight="1" x14ac:dyDescent="0.3">
      <c r="A485" s="6" t="s">
        <v>9</v>
      </c>
      <c r="B485" s="6" t="s">
        <v>7</v>
      </c>
      <c r="C485" s="6" t="s">
        <v>19</v>
      </c>
      <c r="D485" s="8">
        <v>45827</v>
      </c>
      <c r="E485" s="7">
        <v>0.4375</v>
      </c>
    </row>
    <row r="486" spans="1:5" ht="13.5" customHeight="1" x14ac:dyDescent="0.3">
      <c r="A486" s="6" t="s">
        <v>9</v>
      </c>
      <c r="B486" s="6" t="s">
        <v>7</v>
      </c>
      <c r="C486" s="6" t="s">
        <v>19</v>
      </c>
      <c r="D486" s="8">
        <v>45827</v>
      </c>
      <c r="E486" s="7">
        <v>0.47916666666666669</v>
      </c>
    </row>
    <row r="487" spans="1:5" ht="13.5" customHeight="1" x14ac:dyDescent="0.3">
      <c r="A487" s="6" t="s">
        <v>23</v>
      </c>
      <c r="B487" s="6" t="s">
        <v>6</v>
      </c>
      <c r="C487" s="6" t="s">
        <v>19</v>
      </c>
      <c r="D487" s="8">
        <v>45827</v>
      </c>
      <c r="E487" s="7">
        <v>0.45833333333333331</v>
      </c>
    </row>
    <row r="488" spans="1:5" ht="13.5" customHeight="1" x14ac:dyDescent="0.3">
      <c r="A488" s="6" t="s">
        <v>23</v>
      </c>
      <c r="B488" s="6" t="s">
        <v>6</v>
      </c>
      <c r="C488" s="6" t="s">
        <v>19</v>
      </c>
      <c r="D488" s="8">
        <v>45827</v>
      </c>
      <c r="E488" s="7">
        <v>0.5</v>
      </c>
    </row>
    <row r="489" spans="1:5" ht="13.5" customHeight="1" x14ac:dyDescent="0.3">
      <c r="A489" s="6" t="s">
        <v>23</v>
      </c>
      <c r="B489" s="6" t="s">
        <v>6</v>
      </c>
      <c r="C489" s="6" t="s">
        <v>19</v>
      </c>
      <c r="D489" s="8">
        <v>45827</v>
      </c>
      <c r="E489" s="7">
        <v>0.54166666666666663</v>
      </c>
    </row>
    <row r="490" spans="1:5" ht="13.5" customHeight="1" x14ac:dyDescent="0.3">
      <c r="A490" s="20" t="s">
        <v>31</v>
      </c>
      <c r="B490" s="6" t="s">
        <v>14</v>
      </c>
      <c r="C490" s="6" t="s">
        <v>19</v>
      </c>
      <c r="D490" s="8">
        <v>45827</v>
      </c>
      <c r="E490" s="7">
        <v>0.66666666666666663</v>
      </c>
    </row>
    <row r="491" spans="1:5" ht="13.5" customHeight="1" x14ac:dyDescent="0.3">
      <c r="A491" s="20" t="s">
        <v>31</v>
      </c>
      <c r="B491" s="6" t="s">
        <v>14</v>
      </c>
      <c r="C491" s="6" t="s">
        <v>19</v>
      </c>
      <c r="D491" s="8">
        <v>45827</v>
      </c>
      <c r="E491" s="7">
        <v>0.625</v>
      </c>
    </row>
    <row r="492" spans="1:5" ht="13.5" customHeight="1" x14ac:dyDescent="0.3">
      <c r="A492" s="6" t="s">
        <v>12</v>
      </c>
      <c r="B492" s="6" t="s">
        <v>7</v>
      </c>
      <c r="C492" s="6" t="s">
        <v>19</v>
      </c>
      <c r="D492" s="8">
        <v>45828</v>
      </c>
      <c r="E492" s="7">
        <v>0.41666666666666669</v>
      </c>
    </row>
    <row r="493" spans="1:5" ht="13.5" customHeight="1" x14ac:dyDescent="0.3">
      <c r="A493" s="6" t="s">
        <v>12</v>
      </c>
      <c r="B493" s="6" t="s">
        <v>7</v>
      </c>
      <c r="C493" s="6" t="s">
        <v>19</v>
      </c>
      <c r="D493" s="8">
        <v>45828</v>
      </c>
      <c r="E493" s="7">
        <v>0.45833333333333331</v>
      </c>
    </row>
    <row r="494" spans="1:5" ht="13.5" customHeight="1" x14ac:dyDescent="0.3">
      <c r="A494" s="6" t="s">
        <v>3</v>
      </c>
      <c r="B494" s="6" t="s">
        <v>7</v>
      </c>
      <c r="C494" s="6" t="s">
        <v>19</v>
      </c>
      <c r="D494" s="8">
        <v>45828</v>
      </c>
      <c r="E494" s="7">
        <v>0.39583333333333331</v>
      </c>
    </row>
    <row r="495" spans="1:5" ht="13.5" customHeight="1" x14ac:dyDescent="0.3">
      <c r="A495" s="6" t="s">
        <v>3</v>
      </c>
      <c r="B495" s="6" t="s">
        <v>7</v>
      </c>
      <c r="C495" s="6" t="s">
        <v>19</v>
      </c>
      <c r="D495" s="8">
        <v>45828</v>
      </c>
      <c r="E495" s="7">
        <v>0.4375</v>
      </c>
    </row>
    <row r="496" spans="1:5" ht="13.5" customHeight="1" x14ac:dyDescent="0.3">
      <c r="A496" s="6" t="s">
        <v>24</v>
      </c>
      <c r="B496" s="6" t="s">
        <v>16</v>
      </c>
      <c r="C496" s="6" t="s">
        <v>19</v>
      </c>
      <c r="D496" s="8">
        <v>45831</v>
      </c>
      <c r="E496" s="7">
        <v>0.41666666666666669</v>
      </c>
    </row>
    <row r="497" spans="1:5" ht="13.5" customHeight="1" x14ac:dyDescent="0.3">
      <c r="A497" s="6" t="s">
        <v>24</v>
      </c>
      <c r="B497" s="6" t="s">
        <v>16</v>
      </c>
      <c r="C497" s="6" t="s">
        <v>19</v>
      </c>
      <c r="D497" s="8">
        <v>45831</v>
      </c>
      <c r="E497" s="7">
        <v>0.45833333333333331</v>
      </c>
    </row>
    <row r="498" spans="1:5" ht="13.5" customHeight="1" x14ac:dyDescent="0.3">
      <c r="A498" s="6" t="s">
        <v>29</v>
      </c>
      <c r="B498" s="6" t="s">
        <v>6</v>
      </c>
      <c r="C498" s="6" t="s">
        <v>19</v>
      </c>
      <c r="D498" s="8">
        <v>45831</v>
      </c>
      <c r="E498" s="7">
        <v>0.41666666666666669</v>
      </c>
    </row>
    <row r="499" spans="1:5" ht="13.5" customHeight="1" x14ac:dyDescent="0.3">
      <c r="A499" s="6" t="s">
        <v>29</v>
      </c>
      <c r="B499" s="6" t="s">
        <v>6</v>
      </c>
      <c r="C499" s="6" t="s">
        <v>19</v>
      </c>
      <c r="D499" s="8">
        <v>45831</v>
      </c>
      <c r="E499" s="7">
        <v>0.45833333333333331</v>
      </c>
    </row>
    <row r="500" spans="1:5" ht="13.5" customHeight="1" x14ac:dyDescent="0.3">
      <c r="A500" s="6" t="s">
        <v>10</v>
      </c>
      <c r="B500" s="6" t="s">
        <v>7</v>
      </c>
      <c r="C500" s="6" t="s">
        <v>19</v>
      </c>
      <c r="D500" s="8">
        <v>45831</v>
      </c>
      <c r="E500" s="7">
        <v>0.4236111111111111</v>
      </c>
    </row>
    <row r="501" spans="1:5" ht="13.5" customHeight="1" x14ac:dyDescent="0.3">
      <c r="A501" s="6" t="s">
        <v>10</v>
      </c>
      <c r="B501" s="6" t="s">
        <v>7</v>
      </c>
      <c r="C501" s="6" t="s">
        <v>19</v>
      </c>
      <c r="D501" s="8">
        <v>45831</v>
      </c>
      <c r="E501" s="7">
        <v>0.46527777777777779</v>
      </c>
    </row>
    <row r="502" spans="1:5" ht="13.5" customHeight="1" x14ac:dyDescent="0.3">
      <c r="A502" s="6" t="s">
        <v>11</v>
      </c>
      <c r="B502" s="6" t="s">
        <v>7</v>
      </c>
      <c r="C502" s="6" t="s">
        <v>19</v>
      </c>
      <c r="D502" s="8">
        <v>45831</v>
      </c>
      <c r="E502" s="7">
        <v>0.41666666666666669</v>
      </c>
    </row>
    <row r="503" spans="1:5" ht="13.5" customHeight="1" x14ac:dyDescent="0.3">
      <c r="A503" s="6" t="s">
        <v>11</v>
      </c>
      <c r="B503" s="6" t="s">
        <v>7</v>
      </c>
      <c r="C503" s="6" t="s">
        <v>19</v>
      </c>
      <c r="D503" s="8">
        <v>45831</v>
      </c>
      <c r="E503" s="7">
        <v>0.45833333333333331</v>
      </c>
    </row>
    <row r="504" spans="1:5" ht="13.5" customHeight="1" x14ac:dyDescent="0.3">
      <c r="A504" s="6" t="s">
        <v>4</v>
      </c>
      <c r="B504" s="20" t="s">
        <v>7</v>
      </c>
      <c r="C504" s="6" t="s">
        <v>19</v>
      </c>
      <c r="D504" s="8">
        <v>45832</v>
      </c>
      <c r="E504" s="7">
        <v>0.45833333333333331</v>
      </c>
    </row>
    <row r="505" spans="1:5" ht="13.5" customHeight="1" x14ac:dyDescent="0.3">
      <c r="A505" s="6" t="s">
        <v>4</v>
      </c>
      <c r="B505" s="6" t="s">
        <v>7</v>
      </c>
      <c r="C505" s="6" t="s">
        <v>20</v>
      </c>
      <c r="D505" s="8">
        <v>45832</v>
      </c>
      <c r="E505" s="7">
        <v>0.5</v>
      </c>
    </row>
    <row r="506" spans="1:5" ht="13.5" customHeight="1" x14ac:dyDescent="0.3">
      <c r="A506" s="6" t="s">
        <v>4</v>
      </c>
      <c r="B506" s="6" t="s">
        <v>7</v>
      </c>
      <c r="C506" s="6" t="s">
        <v>19</v>
      </c>
      <c r="D506" s="8">
        <v>45832</v>
      </c>
      <c r="E506" s="7">
        <v>0.58333333333333337</v>
      </c>
    </row>
    <row r="507" spans="1:5" ht="13.5" customHeight="1" x14ac:dyDescent="0.3">
      <c r="A507" s="6" t="s">
        <v>17</v>
      </c>
      <c r="B507" s="6" t="s">
        <v>6</v>
      </c>
      <c r="C507" s="6" t="s">
        <v>19</v>
      </c>
      <c r="D507" s="8">
        <v>45832</v>
      </c>
      <c r="E507" s="7">
        <v>0.41666666666666669</v>
      </c>
    </row>
    <row r="508" spans="1:5" ht="13.5" customHeight="1" x14ac:dyDescent="0.3">
      <c r="A508" s="6" t="s">
        <v>17</v>
      </c>
      <c r="B508" s="20" t="s">
        <v>7</v>
      </c>
      <c r="C508" s="6" t="s">
        <v>19</v>
      </c>
      <c r="D508" s="8">
        <v>45832</v>
      </c>
      <c r="E508" s="7">
        <v>0.45833333333333331</v>
      </c>
    </row>
    <row r="509" spans="1:5" ht="13.5" customHeight="1" x14ac:dyDescent="0.3">
      <c r="A509" s="6" t="s">
        <v>13</v>
      </c>
      <c r="B509" s="20" t="s">
        <v>7</v>
      </c>
      <c r="C509" s="6" t="s">
        <v>19</v>
      </c>
      <c r="D509" s="8">
        <v>45833</v>
      </c>
      <c r="E509" s="7">
        <v>0.41666666666666669</v>
      </c>
    </row>
    <row r="510" spans="1:5" ht="13.5" customHeight="1" x14ac:dyDescent="0.3">
      <c r="A510" s="6" t="s">
        <v>13</v>
      </c>
      <c r="B510" s="6" t="s">
        <v>6</v>
      </c>
      <c r="C510" s="6" t="s">
        <v>19</v>
      </c>
      <c r="D510" s="8">
        <v>45833</v>
      </c>
      <c r="E510" s="7">
        <v>0.45833333333333331</v>
      </c>
    </row>
    <row r="511" spans="1:5" ht="13.5" customHeight="1" x14ac:dyDescent="0.3">
      <c r="A511" s="6" t="s">
        <v>18</v>
      </c>
      <c r="B511" s="6" t="s">
        <v>7</v>
      </c>
      <c r="C511" s="6" t="s">
        <v>19</v>
      </c>
      <c r="D511" s="8">
        <v>45833</v>
      </c>
      <c r="E511" s="7">
        <v>0.4375</v>
      </c>
    </row>
    <row r="512" spans="1:5" ht="13.5" customHeight="1" x14ac:dyDescent="0.3">
      <c r="A512" s="6" t="s">
        <v>18</v>
      </c>
      <c r="B512" s="6" t="s">
        <v>7</v>
      </c>
      <c r="C512" s="6" t="s">
        <v>19</v>
      </c>
      <c r="D512" s="8">
        <v>45833</v>
      </c>
      <c r="E512" s="7">
        <v>0.47916666666666669</v>
      </c>
    </row>
    <row r="513" spans="1:5" ht="13.5" customHeight="1" x14ac:dyDescent="0.3">
      <c r="A513" s="6" t="s">
        <v>22</v>
      </c>
      <c r="B513" s="6" t="s">
        <v>14</v>
      </c>
      <c r="C513" s="6" t="s">
        <v>19</v>
      </c>
      <c r="D513" s="8">
        <v>45834</v>
      </c>
      <c r="E513" s="7">
        <v>0.625</v>
      </c>
    </row>
    <row r="514" spans="1:5" ht="13.5" customHeight="1" x14ac:dyDescent="0.3">
      <c r="A514" s="6" t="s">
        <v>22</v>
      </c>
      <c r="B514" s="6" t="s">
        <v>14</v>
      </c>
      <c r="C514" s="6" t="s">
        <v>19</v>
      </c>
      <c r="D514" s="8">
        <v>45834</v>
      </c>
      <c r="E514" s="7">
        <v>0.66666666666666663</v>
      </c>
    </row>
    <row r="515" spans="1:5" ht="13.5" customHeight="1" x14ac:dyDescent="0.3">
      <c r="A515" s="6" t="s">
        <v>9</v>
      </c>
      <c r="B515" s="6" t="s">
        <v>7</v>
      </c>
      <c r="C515" s="6" t="s">
        <v>19</v>
      </c>
      <c r="D515" s="8">
        <v>45834</v>
      </c>
      <c r="E515" s="7">
        <v>0.4375</v>
      </c>
    </row>
    <row r="516" spans="1:5" ht="13.5" customHeight="1" x14ac:dyDescent="0.3">
      <c r="A516" s="6" t="s">
        <v>9</v>
      </c>
      <c r="B516" s="6" t="s">
        <v>7</v>
      </c>
      <c r="C516" s="6" t="s">
        <v>19</v>
      </c>
      <c r="D516" s="8">
        <v>45834</v>
      </c>
      <c r="E516" s="7">
        <v>0.47916666666666669</v>
      </c>
    </row>
    <row r="517" spans="1:5" ht="13.5" customHeight="1" x14ac:dyDescent="0.3">
      <c r="A517" s="6" t="s">
        <v>23</v>
      </c>
      <c r="B517" s="6" t="s">
        <v>6</v>
      </c>
      <c r="C517" s="6" t="s">
        <v>19</v>
      </c>
      <c r="D517" s="8">
        <v>45834</v>
      </c>
      <c r="E517" s="7">
        <v>0.45833333333333331</v>
      </c>
    </row>
    <row r="518" spans="1:5" ht="13.5" customHeight="1" x14ac:dyDescent="0.3">
      <c r="A518" s="6" t="s">
        <v>23</v>
      </c>
      <c r="B518" s="6" t="s">
        <v>6</v>
      </c>
      <c r="C518" s="6" t="s">
        <v>19</v>
      </c>
      <c r="D518" s="8">
        <v>45834</v>
      </c>
      <c r="E518" s="7">
        <v>0.5</v>
      </c>
    </row>
    <row r="519" spans="1:5" ht="13.5" customHeight="1" x14ac:dyDescent="0.3">
      <c r="A519" s="6" t="s">
        <v>23</v>
      </c>
      <c r="B519" s="6" t="s">
        <v>6</v>
      </c>
      <c r="C519" s="6" t="s">
        <v>19</v>
      </c>
      <c r="D519" s="8">
        <v>45834</v>
      </c>
      <c r="E519" s="7">
        <v>0.54166666666666663</v>
      </c>
    </row>
    <row r="520" spans="1:5" ht="13.5" customHeight="1" x14ac:dyDescent="0.3">
      <c r="A520" s="6" t="s">
        <v>12</v>
      </c>
      <c r="B520" s="6" t="s">
        <v>7</v>
      </c>
      <c r="C520" s="6" t="s">
        <v>19</v>
      </c>
      <c r="D520" s="8">
        <v>45835</v>
      </c>
      <c r="E520" s="7">
        <v>0.41666666666666669</v>
      </c>
    </row>
    <row r="521" spans="1:5" ht="13.5" customHeight="1" x14ac:dyDescent="0.3">
      <c r="A521" s="6" t="s">
        <v>12</v>
      </c>
      <c r="B521" s="6" t="s">
        <v>7</v>
      </c>
      <c r="C521" s="6" t="s">
        <v>19</v>
      </c>
      <c r="D521" s="8">
        <v>45835</v>
      </c>
      <c r="E521" s="7">
        <v>0.45833333333333331</v>
      </c>
    </row>
    <row r="522" spans="1:5" ht="13.5" customHeight="1" x14ac:dyDescent="0.3">
      <c r="A522" s="6" t="s">
        <v>3</v>
      </c>
      <c r="B522" s="6" t="s">
        <v>7</v>
      </c>
      <c r="C522" s="6" t="s">
        <v>19</v>
      </c>
      <c r="D522" s="8">
        <v>45835</v>
      </c>
      <c r="E522" s="7">
        <v>0.39583333333333331</v>
      </c>
    </row>
    <row r="523" spans="1:5" ht="13.5" customHeight="1" x14ac:dyDescent="0.3">
      <c r="A523" s="6" t="s">
        <v>3</v>
      </c>
      <c r="B523" s="6" t="s">
        <v>7</v>
      </c>
      <c r="C523" s="6" t="s">
        <v>19</v>
      </c>
      <c r="D523" s="8">
        <v>45835</v>
      </c>
      <c r="E523" s="7">
        <v>0.4375</v>
      </c>
    </row>
    <row r="524" spans="1:5" ht="13.5" customHeight="1" x14ac:dyDescent="0.3">
      <c r="A524" s="6" t="s">
        <v>24</v>
      </c>
      <c r="B524" s="6" t="s">
        <v>16</v>
      </c>
      <c r="C524" s="6" t="s">
        <v>19</v>
      </c>
      <c r="D524" s="8">
        <v>45838</v>
      </c>
      <c r="E524" s="7">
        <v>0.41666666666666669</v>
      </c>
    </row>
    <row r="525" spans="1:5" ht="13.5" customHeight="1" x14ac:dyDescent="0.3">
      <c r="A525" s="6" t="s">
        <v>24</v>
      </c>
      <c r="B525" s="23" t="s">
        <v>56</v>
      </c>
      <c r="C525" s="6" t="s">
        <v>19</v>
      </c>
      <c r="D525" s="8">
        <v>45838</v>
      </c>
      <c r="E525" s="7">
        <v>0.45833333333333331</v>
      </c>
    </row>
    <row r="526" spans="1:5" ht="13.5" customHeight="1" x14ac:dyDescent="0.3">
      <c r="A526" s="6" t="s">
        <v>29</v>
      </c>
      <c r="B526" s="6" t="s">
        <v>6</v>
      </c>
      <c r="C526" s="6" t="s">
        <v>19</v>
      </c>
      <c r="D526" s="8">
        <v>45838</v>
      </c>
      <c r="E526" s="7">
        <v>0.41666666666666669</v>
      </c>
    </row>
    <row r="527" spans="1:5" ht="13.5" customHeight="1" x14ac:dyDescent="0.3">
      <c r="A527" s="6" t="s">
        <v>29</v>
      </c>
      <c r="B527" s="6" t="s">
        <v>6</v>
      </c>
      <c r="C527" s="6" t="s">
        <v>19</v>
      </c>
      <c r="D527" s="8">
        <v>45838</v>
      </c>
      <c r="E527" s="7">
        <v>0.45833333333333331</v>
      </c>
    </row>
    <row r="528" spans="1:5" ht="13.5" customHeight="1" x14ac:dyDescent="0.3">
      <c r="A528" s="6" t="s">
        <v>10</v>
      </c>
      <c r="B528" s="6" t="s">
        <v>7</v>
      </c>
      <c r="C528" s="6" t="s">
        <v>19</v>
      </c>
      <c r="D528" s="8">
        <v>45838</v>
      </c>
      <c r="E528" s="7">
        <v>0.4236111111111111</v>
      </c>
    </row>
    <row r="529" spans="1:5" ht="13.5" customHeight="1" x14ac:dyDescent="0.3">
      <c r="A529" s="6" t="s">
        <v>10</v>
      </c>
      <c r="B529" s="6" t="s">
        <v>7</v>
      </c>
      <c r="C529" s="6" t="s">
        <v>19</v>
      </c>
      <c r="D529" s="8">
        <v>45838</v>
      </c>
      <c r="E529" s="7">
        <v>0.46527777777777779</v>
      </c>
    </row>
    <row r="530" spans="1:5" ht="13.5" customHeight="1" x14ac:dyDescent="0.3">
      <c r="A530" s="20" t="s">
        <v>11</v>
      </c>
      <c r="B530" s="6" t="s">
        <v>7</v>
      </c>
      <c r="C530" s="6" t="s">
        <v>19</v>
      </c>
      <c r="D530" s="22">
        <v>45846</v>
      </c>
      <c r="E530" s="7">
        <v>0.41666666666666669</v>
      </c>
    </row>
    <row r="531" spans="1:5" ht="13.5" customHeight="1" x14ac:dyDescent="0.3">
      <c r="A531" s="20" t="s">
        <v>11</v>
      </c>
      <c r="B531" s="6" t="s">
        <v>7</v>
      </c>
      <c r="C531" s="6" t="s">
        <v>19</v>
      </c>
      <c r="D531" s="22">
        <v>45846</v>
      </c>
      <c r="E531" s="7">
        <v>0.45833333333333331</v>
      </c>
    </row>
    <row r="532" spans="1:5" ht="13.5" customHeight="1" x14ac:dyDescent="0.3">
      <c r="A532" s="6" t="s">
        <v>4</v>
      </c>
      <c r="B532" s="6" t="s">
        <v>8</v>
      </c>
      <c r="C532" s="6" t="s">
        <v>19</v>
      </c>
      <c r="D532" s="8">
        <v>45839</v>
      </c>
      <c r="E532" s="7">
        <v>0.45833333333333331</v>
      </c>
    </row>
    <row r="533" spans="1:5" ht="13.5" customHeight="1" x14ac:dyDescent="0.3">
      <c r="A533" s="6" t="s">
        <v>4</v>
      </c>
      <c r="B533" s="6" t="s">
        <v>7</v>
      </c>
      <c r="C533" s="6" t="s">
        <v>19</v>
      </c>
      <c r="D533" s="8">
        <v>45839</v>
      </c>
      <c r="E533" s="7">
        <v>0.5</v>
      </c>
    </row>
    <row r="534" spans="1:5" ht="13.5" customHeight="1" x14ac:dyDescent="0.3">
      <c r="A534" s="6" t="s">
        <v>4</v>
      </c>
      <c r="B534" s="6" t="s">
        <v>7</v>
      </c>
      <c r="C534" s="6" t="s">
        <v>19</v>
      </c>
      <c r="D534" s="8">
        <v>45839</v>
      </c>
      <c r="E534" s="7">
        <v>0.58333333333333337</v>
      </c>
    </row>
    <row r="535" spans="1:5" ht="13.5" customHeight="1" x14ac:dyDescent="0.3">
      <c r="A535" s="6" t="s">
        <v>13</v>
      </c>
      <c r="B535" s="6" t="s">
        <v>6</v>
      </c>
      <c r="C535" s="6" t="s">
        <v>19</v>
      </c>
      <c r="D535" s="8">
        <v>45840</v>
      </c>
      <c r="E535" s="7">
        <v>0.41666666666666669</v>
      </c>
    </row>
    <row r="536" spans="1:5" ht="13.5" customHeight="1" x14ac:dyDescent="0.3">
      <c r="A536" s="6" t="s">
        <v>13</v>
      </c>
      <c r="B536" s="6" t="s">
        <v>6</v>
      </c>
      <c r="C536" s="6" t="s">
        <v>19</v>
      </c>
      <c r="D536" s="8">
        <v>45840</v>
      </c>
      <c r="E536" s="7">
        <v>0.45833333333333331</v>
      </c>
    </row>
    <row r="537" spans="1:5" ht="13.5" customHeight="1" x14ac:dyDescent="0.3">
      <c r="A537" s="6" t="s">
        <v>9</v>
      </c>
      <c r="B537" s="6" t="s">
        <v>6</v>
      </c>
      <c r="C537" s="6" t="s">
        <v>19</v>
      </c>
      <c r="D537" s="8">
        <v>45841</v>
      </c>
      <c r="E537" s="7">
        <v>0.4375</v>
      </c>
    </row>
    <row r="538" spans="1:5" ht="13.5" customHeight="1" x14ac:dyDescent="0.3">
      <c r="A538" s="6" t="s">
        <v>9</v>
      </c>
      <c r="B538" s="6" t="s">
        <v>6</v>
      </c>
      <c r="C538" s="6" t="s">
        <v>19</v>
      </c>
      <c r="D538" s="8">
        <v>45841</v>
      </c>
      <c r="E538" s="7">
        <v>0.47916666666666669</v>
      </c>
    </row>
    <row r="539" spans="1:5" ht="13.5" customHeight="1" x14ac:dyDescent="0.3">
      <c r="A539" s="6" t="s">
        <v>31</v>
      </c>
      <c r="B539" s="6" t="s">
        <v>14</v>
      </c>
      <c r="C539" s="6" t="s">
        <v>19</v>
      </c>
      <c r="D539" s="8">
        <v>45841</v>
      </c>
      <c r="E539" s="7">
        <v>0.41666666666666669</v>
      </c>
    </row>
    <row r="540" spans="1:5" ht="13.5" customHeight="1" x14ac:dyDescent="0.3">
      <c r="A540" s="6" t="s">
        <v>31</v>
      </c>
      <c r="B540" s="6" t="s">
        <v>14</v>
      </c>
      <c r="C540" s="6" t="s">
        <v>19</v>
      </c>
      <c r="D540" s="8">
        <v>45841</v>
      </c>
      <c r="E540" s="7">
        <v>0.45833333333333331</v>
      </c>
    </row>
    <row r="541" spans="1:5" ht="13.5" customHeight="1" x14ac:dyDescent="0.3">
      <c r="A541" s="6" t="s">
        <v>12</v>
      </c>
      <c r="B541" s="6" t="s">
        <v>7</v>
      </c>
      <c r="C541" s="6" t="s">
        <v>19</v>
      </c>
      <c r="D541" s="8">
        <v>45842</v>
      </c>
      <c r="E541" s="7">
        <v>0.41666666666666669</v>
      </c>
    </row>
    <row r="542" spans="1:5" ht="13.5" customHeight="1" x14ac:dyDescent="0.3">
      <c r="A542" s="6" t="s">
        <v>12</v>
      </c>
      <c r="B542" s="6" t="s">
        <v>7</v>
      </c>
      <c r="C542" s="6" t="s">
        <v>19</v>
      </c>
      <c r="D542" s="8">
        <v>45842</v>
      </c>
      <c r="E542" s="7">
        <v>0.45833333333333331</v>
      </c>
    </row>
    <row r="543" spans="1:5" ht="13.5" customHeight="1" x14ac:dyDescent="0.3">
      <c r="A543" s="6" t="s">
        <v>10</v>
      </c>
      <c r="B543" s="6" t="s">
        <v>7</v>
      </c>
      <c r="C543" s="6" t="s">
        <v>19</v>
      </c>
      <c r="D543" s="8">
        <v>45845</v>
      </c>
      <c r="E543" s="7">
        <v>0.4236111111111111</v>
      </c>
    </row>
    <row r="544" spans="1:5" ht="13.5" customHeight="1" x14ac:dyDescent="0.3">
      <c r="A544" s="6" t="s">
        <v>10</v>
      </c>
      <c r="B544" s="6" t="s">
        <v>7</v>
      </c>
      <c r="C544" s="6" t="s">
        <v>19</v>
      </c>
      <c r="D544" s="8">
        <v>45845</v>
      </c>
      <c r="E544" s="7">
        <v>0.46527777777777779</v>
      </c>
    </row>
    <row r="545" spans="1:5" ht="13.5" customHeight="1" x14ac:dyDescent="0.3">
      <c r="A545" s="20" t="s">
        <v>11</v>
      </c>
      <c r="B545" s="6" t="s">
        <v>7</v>
      </c>
      <c r="C545" s="6" t="s">
        <v>19</v>
      </c>
      <c r="D545" s="22">
        <v>45852</v>
      </c>
      <c r="E545" s="7">
        <v>0.41666666666666669</v>
      </c>
    </row>
    <row r="546" spans="1:5" ht="13.5" customHeight="1" x14ac:dyDescent="0.3">
      <c r="A546" s="20" t="s">
        <v>11</v>
      </c>
      <c r="B546" s="6" t="s">
        <v>7</v>
      </c>
      <c r="C546" s="6" t="s">
        <v>19</v>
      </c>
      <c r="D546" s="22">
        <v>45852</v>
      </c>
      <c r="E546" s="7">
        <v>0.45833333333333331</v>
      </c>
    </row>
    <row r="547" spans="1:5" ht="13.5" customHeight="1" x14ac:dyDescent="0.3">
      <c r="A547" s="6" t="s">
        <v>17</v>
      </c>
      <c r="B547" s="6" t="s">
        <v>6</v>
      </c>
      <c r="C547" s="6" t="s">
        <v>19</v>
      </c>
      <c r="D547" s="8">
        <v>45846</v>
      </c>
      <c r="E547" s="7">
        <v>0.41666666666666669</v>
      </c>
    </row>
    <row r="548" spans="1:5" ht="13.5" customHeight="1" x14ac:dyDescent="0.3">
      <c r="A548" s="6" t="s">
        <v>17</v>
      </c>
      <c r="B548" s="6" t="s">
        <v>6</v>
      </c>
      <c r="C548" s="6" t="s">
        <v>19</v>
      </c>
      <c r="D548" s="8">
        <v>45846</v>
      </c>
      <c r="E548" s="7">
        <v>0.45833333333333331</v>
      </c>
    </row>
    <row r="549" spans="1:5" ht="13.5" customHeight="1" x14ac:dyDescent="0.3">
      <c r="A549" s="6" t="s">
        <v>18</v>
      </c>
      <c r="B549" s="6" t="s">
        <v>7</v>
      </c>
      <c r="C549" s="6" t="s">
        <v>19</v>
      </c>
      <c r="D549" s="8">
        <v>45847</v>
      </c>
      <c r="E549" s="7">
        <v>0.4375</v>
      </c>
    </row>
    <row r="550" spans="1:5" ht="13.5" customHeight="1" x14ac:dyDescent="0.3">
      <c r="A550" s="6" t="s">
        <v>18</v>
      </c>
      <c r="B550" s="6" t="s">
        <v>7</v>
      </c>
      <c r="C550" s="6" t="s">
        <v>19</v>
      </c>
      <c r="D550" s="8">
        <v>45847</v>
      </c>
      <c r="E550" s="7">
        <v>0.47916666666666669</v>
      </c>
    </row>
    <row r="551" spans="1:5" ht="13.5" customHeight="1" x14ac:dyDescent="0.3">
      <c r="A551" s="6" t="s">
        <v>23</v>
      </c>
      <c r="B551" s="6" t="s">
        <v>6</v>
      </c>
      <c r="C551" s="6" t="s">
        <v>19</v>
      </c>
      <c r="D551" s="8">
        <v>45848</v>
      </c>
      <c r="E551" s="7">
        <v>0.45833333333333331</v>
      </c>
    </row>
    <row r="552" spans="1:5" ht="13.5" customHeight="1" x14ac:dyDescent="0.3">
      <c r="A552" s="6" t="s">
        <v>23</v>
      </c>
      <c r="B552" s="6" t="s">
        <v>6</v>
      </c>
      <c r="C552" s="6" t="s">
        <v>19</v>
      </c>
      <c r="D552" s="8">
        <v>45848</v>
      </c>
      <c r="E552" s="7">
        <v>0.5</v>
      </c>
    </row>
    <row r="553" spans="1:5" ht="13.5" customHeight="1" x14ac:dyDescent="0.3">
      <c r="A553" s="6" t="s">
        <v>23</v>
      </c>
      <c r="B553" s="6" t="s">
        <v>6</v>
      </c>
      <c r="C553" s="6" t="s">
        <v>19</v>
      </c>
      <c r="D553" s="8">
        <v>45848</v>
      </c>
      <c r="E553" s="7">
        <v>0.54166666666666663</v>
      </c>
    </row>
    <row r="554" spans="1:5" ht="13.5" customHeight="1" x14ac:dyDescent="0.3">
      <c r="A554" s="6" t="s">
        <v>3</v>
      </c>
      <c r="B554" s="6" t="s">
        <v>7</v>
      </c>
      <c r="C554" s="6" t="s">
        <v>19</v>
      </c>
      <c r="D554" s="8">
        <v>45849</v>
      </c>
      <c r="E554" s="7">
        <v>0.39583333333333331</v>
      </c>
    </row>
    <row r="555" spans="1:5" ht="13.5" customHeight="1" x14ac:dyDescent="0.3">
      <c r="A555" s="6" t="s">
        <v>3</v>
      </c>
      <c r="B555" s="6" t="s">
        <v>7</v>
      </c>
      <c r="C555" s="6" t="s">
        <v>19</v>
      </c>
      <c r="D555" s="8">
        <v>45849</v>
      </c>
      <c r="E555" s="7">
        <v>0.4375</v>
      </c>
    </row>
    <row r="556" spans="1:5" ht="13.5" customHeight="1" x14ac:dyDescent="0.3">
      <c r="A556" s="6" t="s">
        <v>24</v>
      </c>
      <c r="B556" s="6" t="s">
        <v>16</v>
      </c>
      <c r="C556" s="6" t="s">
        <v>19</v>
      </c>
      <c r="D556" s="8">
        <v>45852</v>
      </c>
      <c r="E556" s="7">
        <v>0.41666666666666669</v>
      </c>
    </row>
    <row r="557" spans="1:5" ht="13.5" customHeight="1" x14ac:dyDescent="0.3">
      <c r="A557" s="6" t="s">
        <v>24</v>
      </c>
      <c r="B557" s="23" t="s">
        <v>56</v>
      </c>
      <c r="C557" s="6" t="s">
        <v>19</v>
      </c>
      <c r="D557" s="8">
        <v>45852</v>
      </c>
      <c r="E557" s="7">
        <v>0.45833333333333331</v>
      </c>
    </row>
    <row r="558" spans="1:5" ht="13.5" customHeight="1" x14ac:dyDescent="0.3">
      <c r="A558" s="6" t="s">
        <v>29</v>
      </c>
      <c r="B558" s="6" t="s">
        <v>6</v>
      </c>
      <c r="C558" s="6" t="s">
        <v>19</v>
      </c>
      <c r="D558" s="8">
        <v>45852</v>
      </c>
      <c r="E558" s="7">
        <v>0.41666666666666669</v>
      </c>
    </row>
    <row r="559" spans="1:5" ht="13.5" customHeight="1" x14ac:dyDescent="0.3">
      <c r="A559" s="6" t="s">
        <v>29</v>
      </c>
      <c r="B559" s="6" t="s">
        <v>6</v>
      </c>
      <c r="C559" s="6" t="s">
        <v>19</v>
      </c>
      <c r="D559" s="8">
        <v>45852</v>
      </c>
      <c r="E559" s="7">
        <v>0.45833333333333331</v>
      </c>
    </row>
    <row r="560" spans="1:5" ht="13.5" customHeight="1" x14ac:dyDescent="0.3">
      <c r="A560" s="6" t="s">
        <v>4</v>
      </c>
      <c r="B560" s="6" t="s">
        <v>8</v>
      </c>
      <c r="C560" s="6" t="s">
        <v>19</v>
      </c>
      <c r="D560" s="8">
        <v>45853</v>
      </c>
      <c r="E560" s="7">
        <v>0.45833333333333331</v>
      </c>
    </row>
    <row r="561" spans="1:5" ht="13.5" customHeight="1" x14ac:dyDescent="0.3">
      <c r="A561" s="6" t="s">
        <v>4</v>
      </c>
      <c r="B561" s="6" t="s">
        <v>7</v>
      </c>
      <c r="C561" s="6" t="s">
        <v>19</v>
      </c>
      <c r="D561" s="8">
        <v>45853</v>
      </c>
      <c r="E561" s="7">
        <v>0.5</v>
      </c>
    </row>
    <row r="562" spans="1:5" ht="13.5" customHeight="1" x14ac:dyDescent="0.3">
      <c r="A562" s="6" t="s">
        <v>4</v>
      </c>
      <c r="B562" s="6" t="s">
        <v>7</v>
      </c>
      <c r="C562" s="6" t="s">
        <v>19</v>
      </c>
      <c r="D562" s="8">
        <v>45853</v>
      </c>
      <c r="E562" s="7">
        <v>0.58333333333333337</v>
      </c>
    </row>
    <row r="563" spans="1:5" ht="13.5" customHeight="1" x14ac:dyDescent="0.3">
      <c r="A563" s="6" t="s">
        <v>13</v>
      </c>
      <c r="B563" s="6" t="s">
        <v>6</v>
      </c>
      <c r="C563" s="6" t="s">
        <v>19</v>
      </c>
      <c r="D563" s="8">
        <v>45854</v>
      </c>
      <c r="E563" s="7">
        <v>0.41666666666666669</v>
      </c>
    </row>
    <row r="564" spans="1:5" ht="13.5" customHeight="1" x14ac:dyDescent="0.3">
      <c r="A564" s="6" t="s">
        <v>13</v>
      </c>
      <c r="B564" s="6" t="s">
        <v>6</v>
      </c>
      <c r="C564" s="6" t="s">
        <v>19</v>
      </c>
      <c r="D564" s="8">
        <v>45854</v>
      </c>
      <c r="E564" s="7">
        <v>0.45833333333333331</v>
      </c>
    </row>
    <row r="565" spans="1:5" ht="13.5" customHeight="1" x14ac:dyDescent="0.3">
      <c r="A565" s="6" t="s">
        <v>9</v>
      </c>
      <c r="B565" s="6" t="s">
        <v>6</v>
      </c>
      <c r="C565" s="6" t="s">
        <v>19</v>
      </c>
      <c r="D565" s="8">
        <v>45855</v>
      </c>
      <c r="E565" s="7">
        <v>0.4375</v>
      </c>
    </row>
    <row r="566" spans="1:5" ht="13.5" customHeight="1" x14ac:dyDescent="0.3">
      <c r="A566" s="6" t="s">
        <v>9</v>
      </c>
      <c r="B566" s="6" t="s">
        <v>6</v>
      </c>
      <c r="C566" s="6" t="s">
        <v>19</v>
      </c>
      <c r="D566" s="8">
        <v>45855</v>
      </c>
      <c r="E566" s="7">
        <v>0.47916666666666669</v>
      </c>
    </row>
    <row r="567" spans="1:5" ht="13.5" customHeight="1" x14ac:dyDescent="0.3">
      <c r="A567" s="6" t="s">
        <v>31</v>
      </c>
      <c r="B567" s="6" t="s">
        <v>14</v>
      </c>
      <c r="C567" s="6" t="s">
        <v>19</v>
      </c>
      <c r="D567" s="8">
        <v>45855</v>
      </c>
      <c r="E567" s="7">
        <v>0.41666666666666669</v>
      </c>
    </row>
    <row r="568" spans="1:5" ht="13.5" customHeight="1" x14ac:dyDescent="0.3">
      <c r="A568" s="6" t="s">
        <v>31</v>
      </c>
      <c r="B568" s="6" t="s">
        <v>14</v>
      </c>
      <c r="C568" s="6" t="s">
        <v>19</v>
      </c>
      <c r="D568" s="8">
        <v>45855</v>
      </c>
      <c r="E568" s="7">
        <v>0.45833333333333331</v>
      </c>
    </row>
    <row r="569" spans="1:5" ht="13.5" customHeight="1" x14ac:dyDescent="0.3">
      <c r="A569" s="6" t="s">
        <v>12</v>
      </c>
      <c r="B569" s="6" t="s">
        <v>7</v>
      </c>
      <c r="C569" s="6" t="s">
        <v>19</v>
      </c>
      <c r="D569" s="8">
        <v>45856</v>
      </c>
      <c r="E569" s="7">
        <v>0.41666666666666669</v>
      </c>
    </row>
    <row r="570" spans="1:5" ht="13.5" customHeight="1" x14ac:dyDescent="0.3">
      <c r="A570" s="6" t="s">
        <v>12</v>
      </c>
      <c r="B570" s="6" t="s">
        <v>7</v>
      </c>
      <c r="C570" s="6" t="s">
        <v>19</v>
      </c>
      <c r="D570" s="8">
        <v>45856</v>
      </c>
      <c r="E570" s="7">
        <v>0.45833333333333331</v>
      </c>
    </row>
    <row r="571" spans="1:5" ht="13.5" customHeight="1" x14ac:dyDescent="0.3">
      <c r="A571" s="6" t="s">
        <v>10</v>
      </c>
      <c r="B571" s="6" t="s">
        <v>7</v>
      </c>
      <c r="C571" s="6" t="s">
        <v>19</v>
      </c>
      <c r="D571" s="8">
        <v>45859</v>
      </c>
      <c r="E571" s="7">
        <v>0.4236111111111111</v>
      </c>
    </row>
    <row r="572" spans="1:5" ht="13.5" customHeight="1" x14ac:dyDescent="0.3">
      <c r="A572" s="6" t="s">
        <v>10</v>
      </c>
      <c r="B572" s="6" t="s">
        <v>7</v>
      </c>
      <c r="C572" s="6" t="s">
        <v>19</v>
      </c>
      <c r="D572" s="8">
        <v>45859</v>
      </c>
      <c r="E572" s="7">
        <v>0.46527777777777779</v>
      </c>
    </row>
    <row r="573" spans="1:5" ht="13.5" customHeight="1" x14ac:dyDescent="0.3">
      <c r="A573" s="6" t="s">
        <v>11</v>
      </c>
      <c r="B573" s="6" t="s">
        <v>7</v>
      </c>
      <c r="C573" s="6" t="s">
        <v>19</v>
      </c>
      <c r="D573" s="8">
        <v>45859</v>
      </c>
      <c r="E573" s="7">
        <v>0.41666666666666669</v>
      </c>
    </row>
    <row r="574" spans="1:5" ht="13.5" customHeight="1" x14ac:dyDescent="0.3">
      <c r="A574" s="6" t="s">
        <v>11</v>
      </c>
      <c r="B574" s="6" t="s">
        <v>7</v>
      </c>
      <c r="C574" s="6" t="s">
        <v>19</v>
      </c>
      <c r="D574" s="8">
        <v>45859</v>
      </c>
      <c r="E574" s="7">
        <v>0.45833333333333331</v>
      </c>
    </row>
    <row r="575" spans="1:5" ht="13.5" customHeight="1" x14ac:dyDescent="0.3">
      <c r="A575" s="6" t="s">
        <v>17</v>
      </c>
      <c r="B575" s="6" t="s">
        <v>6</v>
      </c>
      <c r="C575" s="6" t="s">
        <v>19</v>
      </c>
      <c r="D575" s="8">
        <v>45860</v>
      </c>
      <c r="E575" s="7">
        <v>0.41666666666666669</v>
      </c>
    </row>
    <row r="576" spans="1:5" ht="13.5" customHeight="1" x14ac:dyDescent="0.3">
      <c r="A576" s="6" t="s">
        <v>17</v>
      </c>
      <c r="B576" s="6" t="s">
        <v>6</v>
      </c>
      <c r="C576" s="6" t="s">
        <v>19</v>
      </c>
      <c r="D576" s="8">
        <v>45860</v>
      </c>
      <c r="E576" s="7">
        <v>0.45833333333333331</v>
      </c>
    </row>
    <row r="577" spans="1:5" ht="13.5" customHeight="1" x14ac:dyDescent="0.3">
      <c r="A577" s="6" t="s">
        <v>18</v>
      </c>
      <c r="B577" s="6" t="s">
        <v>7</v>
      </c>
      <c r="C577" s="6" t="s">
        <v>19</v>
      </c>
      <c r="D577" s="8">
        <v>45861</v>
      </c>
      <c r="E577" s="7">
        <v>0.4375</v>
      </c>
    </row>
    <row r="578" spans="1:5" ht="13.5" customHeight="1" x14ac:dyDescent="0.3">
      <c r="A578" s="6" t="s">
        <v>18</v>
      </c>
      <c r="B578" s="6" t="s">
        <v>7</v>
      </c>
      <c r="C578" s="6" t="s">
        <v>19</v>
      </c>
      <c r="D578" s="8">
        <v>45861</v>
      </c>
      <c r="E578" s="7">
        <v>0.47916666666666669</v>
      </c>
    </row>
    <row r="579" spans="1:5" ht="13.5" customHeight="1" x14ac:dyDescent="0.3">
      <c r="A579" s="6" t="s">
        <v>23</v>
      </c>
      <c r="B579" s="6" t="s">
        <v>6</v>
      </c>
      <c r="C579" s="6" t="s">
        <v>19</v>
      </c>
      <c r="D579" s="8">
        <v>45862</v>
      </c>
      <c r="E579" s="7">
        <v>0.45833333333333331</v>
      </c>
    </row>
    <row r="580" spans="1:5" ht="13.5" customHeight="1" x14ac:dyDescent="0.3">
      <c r="A580" s="6" t="s">
        <v>23</v>
      </c>
      <c r="B580" s="6" t="s">
        <v>6</v>
      </c>
      <c r="C580" s="6" t="s">
        <v>19</v>
      </c>
      <c r="D580" s="8">
        <v>45862</v>
      </c>
      <c r="E580" s="7">
        <v>0.5</v>
      </c>
    </row>
    <row r="581" spans="1:5" ht="13.5" customHeight="1" x14ac:dyDescent="0.3">
      <c r="A581" s="6" t="s">
        <v>23</v>
      </c>
      <c r="B581" s="6" t="s">
        <v>6</v>
      </c>
      <c r="C581" s="6" t="s">
        <v>19</v>
      </c>
      <c r="D581" s="8">
        <v>45862</v>
      </c>
      <c r="E581" s="7">
        <v>0.54166666666666663</v>
      </c>
    </row>
    <row r="582" spans="1:5" ht="13.5" customHeight="1" x14ac:dyDescent="0.3">
      <c r="A582" s="6" t="s">
        <v>3</v>
      </c>
      <c r="B582" s="6" t="s">
        <v>7</v>
      </c>
      <c r="C582" s="6" t="s">
        <v>19</v>
      </c>
      <c r="D582" s="8">
        <v>45863</v>
      </c>
      <c r="E582" s="7">
        <v>0.39583333333333331</v>
      </c>
    </row>
    <row r="583" spans="1:5" ht="13.5" customHeight="1" x14ac:dyDescent="0.3">
      <c r="A583" s="6" t="s">
        <v>3</v>
      </c>
      <c r="B583" s="6" t="s">
        <v>7</v>
      </c>
      <c r="C583" s="6" t="s">
        <v>19</v>
      </c>
      <c r="D583" s="8">
        <v>45863</v>
      </c>
      <c r="E583" s="7">
        <v>0.4375</v>
      </c>
    </row>
    <row r="584" spans="1:5" ht="13.5" customHeight="1" x14ac:dyDescent="0.3">
      <c r="A584" s="6" t="s">
        <v>24</v>
      </c>
      <c r="B584" s="6" t="s">
        <v>16</v>
      </c>
      <c r="C584" s="6" t="s">
        <v>19</v>
      </c>
      <c r="D584" s="8">
        <v>45873</v>
      </c>
      <c r="E584" s="7">
        <v>0.41666666666666669</v>
      </c>
    </row>
    <row r="585" spans="1:5" ht="13.5" customHeight="1" x14ac:dyDescent="0.3">
      <c r="A585" s="6" t="s">
        <v>24</v>
      </c>
      <c r="B585" s="6" t="s">
        <v>16</v>
      </c>
      <c r="C585" s="6" t="s">
        <v>19</v>
      </c>
      <c r="D585" s="8">
        <v>45873</v>
      </c>
      <c r="E585" s="7">
        <v>0.45833333333333331</v>
      </c>
    </row>
    <row r="586" spans="1:5" ht="13.5" customHeight="1" x14ac:dyDescent="0.3">
      <c r="A586" s="6" t="s">
        <v>29</v>
      </c>
      <c r="B586" s="6" t="s">
        <v>6</v>
      </c>
      <c r="C586" s="6" t="s">
        <v>19</v>
      </c>
      <c r="D586" s="8">
        <v>45873</v>
      </c>
      <c r="E586" s="7">
        <v>0.41666666666666669</v>
      </c>
    </row>
    <row r="587" spans="1:5" ht="13.5" customHeight="1" x14ac:dyDescent="0.3">
      <c r="A587" s="6" t="s">
        <v>29</v>
      </c>
      <c r="B587" s="6" t="s">
        <v>6</v>
      </c>
      <c r="C587" s="6" t="s">
        <v>19</v>
      </c>
      <c r="D587" s="8">
        <v>45873</v>
      </c>
      <c r="E587" s="7">
        <v>0.45833333333333331</v>
      </c>
    </row>
    <row r="588" spans="1:5" ht="13.5" customHeight="1" x14ac:dyDescent="0.3">
      <c r="A588" s="6" t="s">
        <v>10</v>
      </c>
      <c r="B588" s="6" t="s">
        <v>7</v>
      </c>
      <c r="C588" s="6" t="s">
        <v>19</v>
      </c>
      <c r="D588" s="8">
        <v>45873</v>
      </c>
      <c r="E588" s="7">
        <v>0.4236111111111111</v>
      </c>
    </row>
    <row r="589" spans="1:5" ht="13.5" customHeight="1" x14ac:dyDescent="0.3">
      <c r="A589" s="6" t="s">
        <v>10</v>
      </c>
      <c r="B589" s="6" t="s">
        <v>7</v>
      </c>
      <c r="C589" s="6" t="s">
        <v>19</v>
      </c>
      <c r="D589" s="8">
        <v>45873</v>
      </c>
      <c r="E589" s="7">
        <v>0.46527777777777779</v>
      </c>
    </row>
    <row r="590" spans="1:5" ht="13.5" customHeight="1" x14ac:dyDescent="0.3">
      <c r="A590" s="6" t="s">
        <v>11</v>
      </c>
      <c r="B590" s="6" t="s">
        <v>7</v>
      </c>
      <c r="C590" s="6" t="s">
        <v>19</v>
      </c>
      <c r="D590" s="8">
        <v>45873</v>
      </c>
      <c r="E590" s="7">
        <v>0.41666666666666669</v>
      </c>
    </row>
    <row r="591" spans="1:5" ht="13.5" customHeight="1" x14ac:dyDescent="0.3">
      <c r="A591" s="6" t="s">
        <v>11</v>
      </c>
      <c r="B591" s="6" t="s">
        <v>7</v>
      </c>
      <c r="C591" s="6" t="s">
        <v>19</v>
      </c>
      <c r="D591" s="8">
        <v>45873</v>
      </c>
      <c r="E591" s="7">
        <v>0.45833333333333331</v>
      </c>
    </row>
    <row r="592" spans="1:5" ht="13.5" customHeight="1" x14ac:dyDescent="0.3">
      <c r="A592" s="6" t="s">
        <v>13</v>
      </c>
      <c r="B592" s="6" t="s">
        <v>6</v>
      </c>
      <c r="C592" s="6" t="s">
        <v>19</v>
      </c>
      <c r="D592" s="8">
        <v>45875</v>
      </c>
      <c r="E592" s="7">
        <v>0.41666666666666669</v>
      </c>
    </row>
    <row r="593" spans="1:5" ht="13.5" customHeight="1" x14ac:dyDescent="0.3">
      <c r="A593" s="6" t="s">
        <v>13</v>
      </c>
      <c r="B593" s="6" t="s">
        <v>6</v>
      </c>
      <c r="C593" s="6" t="s">
        <v>19</v>
      </c>
      <c r="D593" s="8">
        <v>45875</v>
      </c>
      <c r="E593" s="7">
        <v>0.45833333333333331</v>
      </c>
    </row>
    <row r="594" spans="1:5" ht="13.5" customHeight="1" x14ac:dyDescent="0.3">
      <c r="A594" s="6" t="s">
        <v>18</v>
      </c>
      <c r="B594" s="6" t="s">
        <v>7</v>
      </c>
      <c r="C594" s="6" t="s">
        <v>19</v>
      </c>
      <c r="D594" s="8">
        <v>45875</v>
      </c>
      <c r="E594" s="7">
        <v>0.4375</v>
      </c>
    </row>
    <row r="595" spans="1:5" ht="13.5" customHeight="1" x14ac:dyDescent="0.3">
      <c r="A595" s="6" t="s">
        <v>18</v>
      </c>
      <c r="B595" s="6" t="s">
        <v>7</v>
      </c>
      <c r="C595" s="6" t="s">
        <v>19</v>
      </c>
      <c r="D595" s="8">
        <v>45875</v>
      </c>
      <c r="E595" s="7">
        <v>0.47916666666666669</v>
      </c>
    </row>
    <row r="596" spans="1:5" ht="13.5" customHeight="1" x14ac:dyDescent="0.3">
      <c r="A596" s="6" t="s">
        <v>9</v>
      </c>
      <c r="B596" s="6" t="s">
        <v>6</v>
      </c>
      <c r="C596" s="6" t="s">
        <v>19</v>
      </c>
      <c r="D596" s="8">
        <v>45876</v>
      </c>
      <c r="E596" s="7">
        <v>0.4375</v>
      </c>
    </row>
    <row r="597" spans="1:5" ht="13.5" customHeight="1" x14ac:dyDescent="0.3">
      <c r="A597" s="6" t="s">
        <v>9</v>
      </c>
      <c r="B597" s="6" t="s">
        <v>6</v>
      </c>
      <c r="C597" s="6" t="s">
        <v>19</v>
      </c>
      <c r="D597" s="8">
        <v>45876</v>
      </c>
      <c r="E597" s="7">
        <v>0.47916666666666669</v>
      </c>
    </row>
    <row r="598" spans="1:5" ht="13.5" customHeight="1" x14ac:dyDescent="0.3">
      <c r="A598" s="6" t="s">
        <v>23</v>
      </c>
      <c r="B598" s="6" t="s">
        <v>6</v>
      </c>
      <c r="C598" s="6" t="s">
        <v>19</v>
      </c>
      <c r="D598" s="8">
        <v>45876</v>
      </c>
      <c r="E598" s="7">
        <v>0.45833333333333331</v>
      </c>
    </row>
    <row r="599" spans="1:5" ht="13.5" customHeight="1" x14ac:dyDescent="0.3">
      <c r="A599" s="6" t="s">
        <v>23</v>
      </c>
      <c r="B599" s="6" t="s">
        <v>6</v>
      </c>
      <c r="C599" s="6" t="s">
        <v>19</v>
      </c>
      <c r="D599" s="8">
        <v>45876</v>
      </c>
      <c r="E599" s="7">
        <v>0.5</v>
      </c>
    </row>
    <row r="600" spans="1:5" ht="13.5" customHeight="1" x14ac:dyDescent="0.3">
      <c r="A600" s="6" t="s">
        <v>31</v>
      </c>
      <c r="B600" s="6" t="s">
        <v>14</v>
      </c>
      <c r="C600" s="6" t="s">
        <v>19</v>
      </c>
      <c r="D600" s="8">
        <v>45876</v>
      </c>
      <c r="E600" s="7">
        <v>0.41666666666666669</v>
      </c>
    </row>
    <row r="601" spans="1:5" ht="13.5" customHeight="1" x14ac:dyDescent="0.3">
      <c r="A601" s="6" t="s">
        <v>31</v>
      </c>
      <c r="B601" s="6" t="s">
        <v>14</v>
      </c>
      <c r="C601" s="6" t="s">
        <v>19</v>
      </c>
      <c r="D601" s="8">
        <v>45876</v>
      </c>
      <c r="E601" s="7">
        <v>0.45833333333333331</v>
      </c>
    </row>
    <row r="602" spans="1:5" ht="13.5" customHeight="1" x14ac:dyDescent="0.3">
      <c r="A602" s="6" t="s">
        <v>12</v>
      </c>
      <c r="B602" s="6" t="s">
        <v>7</v>
      </c>
      <c r="C602" s="6" t="s">
        <v>19</v>
      </c>
      <c r="D602" s="8">
        <v>45877</v>
      </c>
      <c r="E602" s="7">
        <v>0.41666666666666669</v>
      </c>
    </row>
    <row r="603" spans="1:5" ht="13.5" customHeight="1" x14ac:dyDescent="0.3">
      <c r="A603" s="6" t="s">
        <v>12</v>
      </c>
      <c r="B603" s="6" t="s">
        <v>7</v>
      </c>
      <c r="C603" s="6" t="s">
        <v>19</v>
      </c>
      <c r="D603" s="8">
        <v>45877</v>
      </c>
      <c r="E603" s="7">
        <v>0.45833333333333331</v>
      </c>
    </row>
    <row r="604" spans="1:5" ht="13.5" customHeight="1" x14ac:dyDescent="0.3">
      <c r="A604" s="6" t="s">
        <v>3</v>
      </c>
      <c r="B604" s="6" t="s">
        <v>7</v>
      </c>
      <c r="C604" s="6" t="s">
        <v>19</v>
      </c>
      <c r="D604" s="8">
        <v>45877</v>
      </c>
      <c r="E604" s="7">
        <v>0.39583333333333331</v>
      </c>
    </row>
    <row r="605" spans="1:5" ht="13.5" customHeight="1" x14ac:dyDescent="0.3">
      <c r="A605" s="6" t="s">
        <v>3</v>
      </c>
      <c r="B605" s="6" t="s">
        <v>7</v>
      </c>
      <c r="C605" s="6" t="s">
        <v>19</v>
      </c>
      <c r="D605" s="8">
        <v>45877</v>
      </c>
      <c r="E605" s="7">
        <v>0.4375</v>
      </c>
    </row>
    <row r="606" spans="1:5" ht="13.5" customHeight="1" x14ac:dyDescent="0.3">
      <c r="A606" s="6" t="s">
        <v>24</v>
      </c>
      <c r="B606" s="6" t="s">
        <v>16</v>
      </c>
      <c r="C606" s="6" t="s">
        <v>19</v>
      </c>
      <c r="D606" s="8">
        <v>45880</v>
      </c>
      <c r="E606" s="7">
        <v>0.41666666666666669</v>
      </c>
    </row>
    <row r="607" spans="1:5" ht="13.5" customHeight="1" x14ac:dyDescent="0.3">
      <c r="A607" s="6" t="s">
        <v>24</v>
      </c>
      <c r="B607" s="6" t="s">
        <v>16</v>
      </c>
      <c r="C607" s="6" t="s">
        <v>19</v>
      </c>
      <c r="D607" s="8">
        <v>45880</v>
      </c>
      <c r="E607" s="7">
        <v>0.45833333333333331</v>
      </c>
    </row>
    <row r="608" spans="1:5" ht="13.5" customHeight="1" x14ac:dyDescent="0.3">
      <c r="A608" s="6" t="s">
        <v>29</v>
      </c>
      <c r="B608" s="6" t="s">
        <v>6</v>
      </c>
      <c r="C608" s="6" t="s">
        <v>19</v>
      </c>
      <c r="D608" s="25">
        <v>45881</v>
      </c>
      <c r="E608" s="7">
        <v>0.41666666666666669</v>
      </c>
    </row>
    <row r="609" spans="1:5" ht="13.5" customHeight="1" x14ac:dyDescent="0.3">
      <c r="A609" s="6" t="s">
        <v>29</v>
      </c>
      <c r="B609" s="6" t="s">
        <v>6</v>
      </c>
      <c r="C609" s="6" t="s">
        <v>19</v>
      </c>
      <c r="D609" s="25">
        <v>45881</v>
      </c>
      <c r="E609" s="7">
        <v>0.45833333333333331</v>
      </c>
    </row>
    <row r="610" spans="1:5" ht="13.5" customHeight="1" x14ac:dyDescent="0.3">
      <c r="A610" s="6" t="s">
        <v>10</v>
      </c>
      <c r="B610" s="6" t="s">
        <v>7</v>
      </c>
      <c r="C610" s="6" t="s">
        <v>19</v>
      </c>
      <c r="D610" s="8">
        <v>45880</v>
      </c>
      <c r="E610" s="7">
        <v>0.4236111111111111</v>
      </c>
    </row>
    <row r="611" spans="1:5" ht="13.5" customHeight="1" x14ac:dyDescent="0.3">
      <c r="A611" s="6" t="s">
        <v>10</v>
      </c>
      <c r="B611" s="6" t="s">
        <v>7</v>
      </c>
      <c r="C611" s="6" t="s">
        <v>19</v>
      </c>
      <c r="D611" s="8">
        <v>45880</v>
      </c>
      <c r="E611" s="7">
        <v>0.46527777777777779</v>
      </c>
    </row>
    <row r="612" spans="1:5" ht="13.5" customHeight="1" x14ac:dyDescent="0.3">
      <c r="A612" s="6" t="s">
        <v>11</v>
      </c>
      <c r="B612" s="6" t="s">
        <v>7</v>
      </c>
      <c r="C612" s="6" t="s">
        <v>19</v>
      </c>
      <c r="D612" s="25">
        <v>45881</v>
      </c>
      <c r="E612" s="7">
        <v>0.41666666666666669</v>
      </c>
    </row>
    <row r="613" spans="1:5" ht="13.5" customHeight="1" x14ac:dyDescent="0.3">
      <c r="A613" s="6" t="s">
        <v>11</v>
      </c>
      <c r="B613" s="6" t="s">
        <v>7</v>
      </c>
      <c r="C613" s="6" t="s">
        <v>19</v>
      </c>
      <c r="D613" s="25">
        <v>45881</v>
      </c>
      <c r="E613" s="7">
        <v>0.45833333333333331</v>
      </c>
    </row>
    <row r="614" spans="1:5" ht="13.5" customHeight="1" x14ac:dyDescent="0.3">
      <c r="A614" s="6" t="s">
        <v>4</v>
      </c>
      <c r="B614" s="6" t="s">
        <v>8</v>
      </c>
      <c r="C614" s="6" t="s">
        <v>19</v>
      </c>
      <c r="D614" s="8">
        <v>45881</v>
      </c>
      <c r="E614" s="7">
        <v>0.45833333333333331</v>
      </c>
    </row>
    <row r="615" spans="1:5" ht="13.5" customHeight="1" x14ac:dyDescent="0.3">
      <c r="A615" s="6" t="s">
        <v>4</v>
      </c>
      <c r="B615" s="6" t="s">
        <v>7</v>
      </c>
      <c r="C615" s="6" t="s">
        <v>19</v>
      </c>
      <c r="D615" s="8">
        <v>45881</v>
      </c>
      <c r="E615" s="7">
        <v>0.5</v>
      </c>
    </row>
    <row r="616" spans="1:5" ht="13.5" customHeight="1" x14ac:dyDescent="0.3">
      <c r="A616" s="6" t="s">
        <v>4</v>
      </c>
      <c r="B616" s="6" t="s">
        <v>7</v>
      </c>
      <c r="C616" s="6" t="s">
        <v>19</v>
      </c>
      <c r="D616" s="8">
        <v>45881</v>
      </c>
      <c r="E616" s="7">
        <v>0.58333333333333337</v>
      </c>
    </row>
    <row r="617" spans="1:5" ht="13.5" customHeight="1" x14ac:dyDescent="0.3">
      <c r="A617" s="6" t="s">
        <v>13</v>
      </c>
      <c r="B617" s="6" t="s">
        <v>6</v>
      </c>
      <c r="C617" s="6" t="s">
        <v>19</v>
      </c>
      <c r="D617" s="8">
        <v>45882</v>
      </c>
      <c r="E617" s="7">
        <v>0.41666666666666669</v>
      </c>
    </row>
    <row r="618" spans="1:5" ht="13.5" customHeight="1" x14ac:dyDescent="0.3">
      <c r="A618" s="6" t="s">
        <v>13</v>
      </c>
      <c r="B618" s="6" t="s">
        <v>6</v>
      </c>
      <c r="C618" s="6" t="s">
        <v>19</v>
      </c>
      <c r="D618" s="8">
        <v>45882</v>
      </c>
      <c r="E618" s="7">
        <v>0.45833333333333331</v>
      </c>
    </row>
    <row r="619" spans="1:5" ht="13.5" customHeight="1" x14ac:dyDescent="0.3">
      <c r="A619" s="6" t="s">
        <v>18</v>
      </c>
      <c r="B619" s="6" t="s">
        <v>7</v>
      </c>
      <c r="C619" s="6" t="s">
        <v>19</v>
      </c>
      <c r="D619" s="8">
        <v>45882</v>
      </c>
      <c r="E619" s="7">
        <v>0.4375</v>
      </c>
    </row>
    <row r="620" spans="1:5" ht="13.5" customHeight="1" x14ac:dyDescent="0.3">
      <c r="A620" s="6" t="s">
        <v>18</v>
      </c>
      <c r="B620" s="6" t="s">
        <v>7</v>
      </c>
      <c r="C620" s="6" t="s">
        <v>19</v>
      </c>
      <c r="D620" s="8">
        <v>45882</v>
      </c>
      <c r="E620" s="7">
        <v>0.47916666666666669</v>
      </c>
    </row>
    <row r="621" spans="1:5" ht="13.5" customHeight="1" x14ac:dyDescent="0.3">
      <c r="A621" s="6" t="s">
        <v>9</v>
      </c>
      <c r="B621" s="6" t="s">
        <v>6</v>
      </c>
      <c r="C621" s="6" t="s">
        <v>19</v>
      </c>
      <c r="D621" s="8">
        <v>45883</v>
      </c>
      <c r="E621" s="7">
        <v>0.4375</v>
      </c>
    </row>
    <row r="622" spans="1:5" ht="13.5" customHeight="1" x14ac:dyDescent="0.3">
      <c r="A622" s="6" t="s">
        <v>9</v>
      </c>
      <c r="B622" s="6" t="s">
        <v>6</v>
      </c>
      <c r="C622" s="6" t="s">
        <v>19</v>
      </c>
      <c r="D622" s="8">
        <v>45883</v>
      </c>
      <c r="E622" s="7">
        <v>0.47916666666666669</v>
      </c>
    </row>
    <row r="623" spans="1:5" ht="13.5" customHeight="1" x14ac:dyDescent="0.3">
      <c r="A623" s="6" t="s">
        <v>23</v>
      </c>
      <c r="B623" s="6" t="s">
        <v>6</v>
      </c>
      <c r="C623" s="6" t="s">
        <v>19</v>
      </c>
      <c r="D623" s="8">
        <v>45883</v>
      </c>
      <c r="E623" s="7">
        <v>0.45833333333333331</v>
      </c>
    </row>
    <row r="624" spans="1:5" ht="13.5" customHeight="1" x14ac:dyDescent="0.3">
      <c r="A624" s="6" t="s">
        <v>23</v>
      </c>
      <c r="B624" s="6" t="s">
        <v>6</v>
      </c>
      <c r="C624" s="6" t="s">
        <v>19</v>
      </c>
      <c r="D624" s="8">
        <v>45883</v>
      </c>
      <c r="E624" s="7">
        <v>0.5</v>
      </c>
    </row>
    <row r="625" spans="1:5" ht="13.5" customHeight="1" x14ac:dyDescent="0.3">
      <c r="A625" s="6" t="s">
        <v>4</v>
      </c>
      <c r="B625" s="6" t="s">
        <v>7</v>
      </c>
      <c r="C625" s="6" t="s">
        <v>19</v>
      </c>
      <c r="D625" s="8">
        <v>45883</v>
      </c>
      <c r="E625" s="7">
        <v>0.45833333333333331</v>
      </c>
    </row>
    <row r="626" spans="1:5" ht="13.5" customHeight="1" x14ac:dyDescent="0.3">
      <c r="A626" s="6" t="s">
        <v>4</v>
      </c>
      <c r="B626" s="6" t="s">
        <v>7</v>
      </c>
      <c r="C626" s="6" t="s">
        <v>19</v>
      </c>
      <c r="D626" s="8">
        <v>45883</v>
      </c>
      <c r="E626" s="7">
        <v>0.5</v>
      </c>
    </row>
    <row r="627" spans="1:5" ht="13.5" customHeight="1" x14ac:dyDescent="0.3">
      <c r="A627" s="6" t="s">
        <v>4</v>
      </c>
      <c r="B627" s="6" t="s">
        <v>7</v>
      </c>
      <c r="C627" s="6" t="s">
        <v>19</v>
      </c>
      <c r="D627" s="8">
        <v>45883</v>
      </c>
      <c r="E627" s="7">
        <v>0.58333333333333337</v>
      </c>
    </row>
    <row r="628" spans="1:5" x14ac:dyDescent="0.3">
      <c r="A628" s="23" t="s">
        <v>4</v>
      </c>
      <c r="B628" s="6" t="s">
        <v>7</v>
      </c>
      <c r="C628" s="6" t="s">
        <v>19</v>
      </c>
      <c r="D628" s="25">
        <v>45895</v>
      </c>
      <c r="E628" s="7">
        <v>0.45833333333333331</v>
      </c>
    </row>
    <row r="629" spans="1:5" x14ac:dyDescent="0.3">
      <c r="A629" s="23" t="s">
        <v>4</v>
      </c>
      <c r="B629" s="6" t="s">
        <v>7</v>
      </c>
      <c r="C629" s="6" t="s">
        <v>19</v>
      </c>
      <c r="D629" s="25">
        <v>45895</v>
      </c>
      <c r="E629" s="7">
        <v>0.5</v>
      </c>
    </row>
    <row r="630" spans="1:5" x14ac:dyDescent="0.3">
      <c r="A630" s="23" t="s">
        <v>4</v>
      </c>
      <c r="B630" s="6" t="s">
        <v>7</v>
      </c>
      <c r="C630" s="6" t="s">
        <v>19</v>
      </c>
      <c r="D630" s="25">
        <v>45895</v>
      </c>
      <c r="E630" s="7">
        <v>0.58333333333333337</v>
      </c>
    </row>
    <row r="631" spans="1:5" x14ac:dyDescent="0.3">
      <c r="A631" s="23" t="s">
        <v>18</v>
      </c>
      <c r="B631" s="6" t="s">
        <v>7</v>
      </c>
      <c r="C631" s="6" t="s">
        <v>19</v>
      </c>
      <c r="D631" s="25">
        <v>45896</v>
      </c>
      <c r="E631" s="7">
        <v>0.4375</v>
      </c>
    </row>
    <row r="632" spans="1:5" x14ac:dyDescent="0.3">
      <c r="A632" s="23" t="s">
        <v>18</v>
      </c>
      <c r="B632" s="6" t="s">
        <v>7</v>
      </c>
      <c r="C632" s="6" t="s">
        <v>19</v>
      </c>
      <c r="D632" s="25">
        <v>45896</v>
      </c>
      <c r="E632" s="7">
        <v>0.47916666666666669</v>
      </c>
    </row>
    <row r="633" spans="1:5" x14ac:dyDescent="0.3">
      <c r="A633" s="23" t="s">
        <v>9</v>
      </c>
      <c r="B633" s="6" t="s">
        <v>6</v>
      </c>
      <c r="C633" s="6" t="s">
        <v>19</v>
      </c>
      <c r="D633" s="25">
        <v>45897</v>
      </c>
      <c r="E633" s="7">
        <v>0.4375</v>
      </c>
    </row>
    <row r="634" spans="1:5" x14ac:dyDescent="0.3">
      <c r="A634" s="23" t="s">
        <v>9</v>
      </c>
      <c r="B634" s="6" t="s">
        <v>6</v>
      </c>
      <c r="C634" s="6" t="s">
        <v>19</v>
      </c>
      <c r="D634" s="25">
        <v>45897</v>
      </c>
      <c r="E634" s="7">
        <v>0.47916666666666669</v>
      </c>
    </row>
  </sheetData>
  <autoFilter ref="A1:E633" xr:uid="{00000000-0009-0000-0000-000004000000}"/>
  <phoneticPr fontId="2" type="noConversion"/>
  <conditionalFormatting sqref="E635:E1048576 E1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5:E104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5:E118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9:E139 E143:E158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0:E142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9:E171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50:E352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1:E210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9:E236 E211:E227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7:E246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7:E273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74:E283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01:E302">
    <cfRule type="colorScale" priority="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03:E310 E284:E300">
    <cfRule type="colorScale" priority="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18:E322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23:E334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5:E349">
    <cfRule type="colorScale" priority="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53:E358">
    <cfRule type="colorScale" priority="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59:E369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1:E38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0:E380 E384:E405">
    <cfRule type="colorScale" priority="5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06:E415">
    <cfRule type="colorScale" priority="6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3:E434">
    <cfRule type="colorScale" priority="6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5:E438 E416:E432">
    <cfRule type="colorScale" priority="6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9:E448">
    <cfRule type="colorScale" priority="7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49:E467">
    <cfRule type="colorScale" priority="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68:E475">
    <cfRule type="colorScale" priority="1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0:E491">
    <cfRule type="colorScale" priority="10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2:E495 E476:E489">
    <cfRule type="colorScale" priority="10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6:E503">
    <cfRule type="colorScale" priority="1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04:E523">
    <cfRule type="colorScale" priority="1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24:E531">
    <cfRule type="colorScale" priority="1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39:E540">
    <cfRule type="colorScale" priority="12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67:E568">
    <cfRule type="colorScale" priority="1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84:E591">
    <cfRule type="colorScale" priority="17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00:E601">
    <cfRule type="colorScale" priority="17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02:E605 E592:E599 E625:E627">
    <cfRule type="colorScale" priority="18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06:E613">
    <cfRule type="colorScale" priority="18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14:E624">
    <cfRule type="colorScale" priority="19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627 E635:E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2:E200">
    <cfRule type="colorScale" priority="2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79:E28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11:E41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44:E44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72:E47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00:E50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28:E52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43:E54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71:E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88:E58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10:E61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54">
    <cfRule type="colorScale" priority="2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11:E317">
    <cfRule type="colorScale" priority="2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8">
    <cfRule type="colorScale" priority="2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41:E542 E532:E538">
    <cfRule type="colorScale" priority="2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43:E546">
    <cfRule type="colorScale" priority="2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47:E555">
    <cfRule type="colorScale" priority="2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69:E570 E560:E566">
    <cfRule type="colorScale" priority="2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56:E559">
    <cfRule type="colorScale" priority="2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75:E583">
    <cfRule type="colorScale" priority="2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71:E574">
    <cfRule type="colorScale" priority="2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1:E6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1:E6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8:E6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8:E6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3:E6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3:E6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0B52-A51D-44C5-AED2-51F9D9D01053}">
  <dimension ref="A1:AA659"/>
  <sheetViews>
    <sheetView tabSelected="1" workbookViewId="0">
      <pane ySplit="2" topLeftCell="A504" activePane="bottomLeft" state="frozen"/>
      <selection activeCell="M19" sqref="M19"/>
      <selection pane="bottomLeft" activeCell="D514" sqref="D514"/>
    </sheetView>
  </sheetViews>
  <sheetFormatPr defaultColWidth="9" defaultRowHeight="16.5" x14ac:dyDescent="0.3"/>
  <cols>
    <col min="1" max="1" width="12.25" style="1" customWidth="1"/>
    <col min="2" max="2" width="11.5" style="1" customWidth="1"/>
    <col min="3" max="3" width="9" style="1"/>
    <col min="4" max="4" width="21.5" style="9" bestFit="1" customWidth="1"/>
    <col min="5" max="6" width="9" style="1"/>
    <col min="7" max="7" width="8.75"/>
    <col min="8" max="12" width="9" customWidth="1"/>
    <col min="13" max="13" width="8.75"/>
    <col min="14" max="14" width="9" customWidth="1"/>
    <col min="15" max="15" width="4.75" bestFit="1" customWidth="1"/>
    <col min="16" max="17" width="8.75"/>
    <col min="18" max="23" width="4.75" customWidth="1"/>
    <col min="24" max="24" width="4.75" bestFit="1" customWidth="1"/>
    <col min="25" max="25" width="9" style="1"/>
    <col min="26" max="26" width="9.75" style="1" customWidth="1"/>
    <col min="27" max="16384" width="9" style="1"/>
  </cols>
  <sheetData>
    <row r="1" spans="1:27" ht="17.25" thickBot="1" x14ac:dyDescent="0.35">
      <c r="G1" s="2" t="s">
        <v>110</v>
      </c>
      <c r="Q1" t="s">
        <v>104</v>
      </c>
    </row>
    <row r="2" spans="1:27" ht="14.25" thickTop="1" x14ac:dyDescent="0.3">
      <c r="A2" s="3" t="s">
        <v>2</v>
      </c>
      <c r="B2" s="3" t="s">
        <v>5</v>
      </c>
      <c r="C2" s="3" t="s">
        <v>21</v>
      </c>
      <c r="D2" s="4" t="s">
        <v>0</v>
      </c>
      <c r="E2" s="3" t="s">
        <v>1</v>
      </c>
      <c r="G2" s="3" t="s">
        <v>2</v>
      </c>
      <c r="H2" s="3" t="s">
        <v>56</v>
      </c>
      <c r="I2" s="3" t="s">
        <v>7</v>
      </c>
      <c r="J2" s="3" t="s">
        <v>8</v>
      </c>
      <c r="K2" s="3" t="s">
        <v>14</v>
      </c>
      <c r="L2" s="3" t="s">
        <v>16</v>
      </c>
      <c r="M2" s="3" t="s">
        <v>43</v>
      </c>
      <c r="N2" s="3" t="s">
        <v>28</v>
      </c>
      <c r="O2" s="3" t="s">
        <v>33</v>
      </c>
      <c r="P2" s="10"/>
      <c r="Q2" s="3" t="s">
        <v>2</v>
      </c>
      <c r="R2" s="11" t="s">
        <v>98</v>
      </c>
      <c r="S2" s="11" t="s">
        <v>99</v>
      </c>
      <c r="T2" s="11" t="s">
        <v>100</v>
      </c>
      <c r="U2" s="11" t="s">
        <v>101</v>
      </c>
      <c r="V2" s="11" t="s">
        <v>103</v>
      </c>
      <c r="W2" s="11" t="s">
        <v>102</v>
      </c>
      <c r="X2" s="3" t="s">
        <v>33</v>
      </c>
    </row>
    <row r="3" spans="1:27" ht="13.5" customHeight="1" x14ac:dyDescent="0.3">
      <c r="A3" s="6" t="s">
        <v>24</v>
      </c>
      <c r="B3" s="38" t="s">
        <v>16</v>
      </c>
      <c r="C3" s="24" t="s">
        <v>58</v>
      </c>
      <c r="D3" s="31">
        <v>45901</v>
      </c>
      <c r="E3" s="35">
        <v>0.41666666666666669</v>
      </c>
      <c r="F3" s="5"/>
      <c r="G3" s="12" t="s">
        <v>34</v>
      </c>
      <c r="H3" s="6" cm="1">
        <f t="array" ref="H3">SUMPRODUCT(('2025-하반기'!$A:$A=$G3)*('2025-하반기'!$B:$B=H$2))</f>
        <v>0</v>
      </c>
      <c r="I3" s="69" cm="1">
        <f t="array" ref="I3">SUMPRODUCT(('2025-하반기'!$A:$A=$G3)*('2025-하반기'!$B:$B=I$2))</f>
        <v>32</v>
      </c>
      <c r="J3" s="6" cm="1">
        <f t="array" ref="J3">SUMPRODUCT(('2025-하반기'!$A:$A=$G3)*('2025-하반기'!$B:$B=J$2))</f>
        <v>0</v>
      </c>
      <c r="K3" s="6" cm="1">
        <f t="array" ref="K3">SUMPRODUCT(('2025-하반기'!$A:$A=$G3)*('2025-하반기'!$B:$B=K$2))</f>
        <v>0</v>
      </c>
      <c r="L3" s="6" cm="1">
        <f t="array" ref="L3">SUMPRODUCT(('2025-하반기'!$A:$A=$G3)*('2025-하반기'!$B:$B=L$2))</f>
        <v>0</v>
      </c>
      <c r="M3" s="6" cm="1">
        <f t="array" ref="M3">SUMPRODUCT(('2025-하반기'!$A:$A=$G3)*('2025-하반기'!$B:$B=M$2))</f>
        <v>0</v>
      </c>
      <c r="N3" s="6" cm="1">
        <f t="array" ref="N3">SUMPRODUCT(('2025-하반기'!$A:$A=$G3)*('2025-하반기'!$B:$B=N$2))</f>
        <v>0</v>
      </c>
      <c r="O3" s="13">
        <f>SUM(H3:N3)</f>
        <v>32</v>
      </c>
      <c r="P3" s="7"/>
      <c r="Q3" s="12" t="s">
        <v>34</v>
      </c>
      <c r="R3" s="6">
        <v>13</v>
      </c>
      <c r="S3" s="6">
        <v>3</v>
      </c>
      <c r="T3" s="6">
        <v>11</v>
      </c>
      <c r="U3" s="6">
        <v>4</v>
      </c>
      <c r="V3" s="6">
        <v>2</v>
      </c>
      <c r="W3" s="6">
        <v>2</v>
      </c>
      <c r="X3" s="13">
        <f t="shared" ref="X3:X25" si="0">SUM(R3:W3)</f>
        <v>35</v>
      </c>
      <c r="Z3" s="21"/>
      <c r="AA3" s="6" t="s">
        <v>55</v>
      </c>
    </row>
    <row r="4" spans="1:27" ht="13.5" customHeight="1" x14ac:dyDescent="0.3">
      <c r="A4" s="6" t="s">
        <v>32</v>
      </c>
      <c r="B4" s="38" t="s">
        <v>16</v>
      </c>
      <c r="C4" s="24" t="s">
        <v>58</v>
      </c>
      <c r="D4" s="31">
        <v>45901</v>
      </c>
      <c r="E4" s="35">
        <v>0.45833333333333331</v>
      </c>
      <c r="F4" s="5"/>
      <c r="G4" s="12" t="s">
        <v>23</v>
      </c>
      <c r="H4" s="69" cm="1">
        <f t="array" ref="H4">SUMPRODUCT(('2025-하반기'!$A:$A=$G4)*('2025-하반기'!$B:$B=H$2))</f>
        <v>38</v>
      </c>
      <c r="I4" s="6" cm="1">
        <f t="array" ref="I4">SUMPRODUCT(('2025-하반기'!$A:$A=$G4)*('2025-하반기'!$B:$B=I$2))</f>
        <v>1</v>
      </c>
      <c r="J4" s="6" cm="1">
        <f t="array" ref="J4">SUMPRODUCT(('2025-하반기'!$A:$A=$G4)*('2025-하반기'!$B:$B=J$2))</f>
        <v>0</v>
      </c>
      <c r="K4" s="6" cm="1">
        <f t="array" ref="K4">SUMPRODUCT(('2025-하반기'!$A:$A=$G4)*('2025-하반기'!$B:$B=K$2))</f>
        <v>0</v>
      </c>
      <c r="L4" s="6" cm="1">
        <f t="array" ref="L4">SUMPRODUCT(('2025-하반기'!$A:$A=$G4)*('2025-하반기'!$B:$B=L$2))</f>
        <v>0</v>
      </c>
      <c r="M4" s="6" cm="1">
        <f t="array" ref="M4">SUMPRODUCT(('2025-하반기'!$A:$A=$G4)*('2025-하반기'!$B:$B=M$2))</f>
        <v>0</v>
      </c>
      <c r="N4" s="6" cm="1">
        <f t="array" ref="N4">SUMPRODUCT(('2025-하반기'!$A:$A=$G4)*('2025-하반기'!$B:$B=N$2))</f>
        <v>0</v>
      </c>
      <c r="O4" s="13">
        <f t="shared" ref="O4:O25" si="1">SUM(H4:N4)</f>
        <v>39</v>
      </c>
      <c r="P4" s="6"/>
      <c r="Q4" s="12" t="s">
        <v>23</v>
      </c>
      <c r="R4" s="6">
        <v>12</v>
      </c>
      <c r="S4" s="6">
        <v>8</v>
      </c>
      <c r="T4" s="6">
        <v>9</v>
      </c>
      <c r="U4" s="6">
        <v>4</v>
      </c>
      <c r="V4" s="6">
        <v>4</v>
      </c>
      <c r="W4" s="6">
        <v>2</v>
      </c>
      <c r="X4" s="13">
        <f t="shared" si="0"/>
        <v>39</v>
      </c>
      <c r="Z4" s="26" t="s">
        <v>57</v>
      </c>
    </row>
    <row r="5" spans="1:27" ht="13.5" customHeight="1" x14ac:dyDescent="0.3">
      <c r="A5" s="6" t="s">
        <v>32</v>
      </c>
      <c r="B5" s="38" t="s">
        <v>16</v>
      </c>
      <c r="C5" s="24" t="s">
        <v>58</v>
      </c>
      <c r="D5" s="31">
        <v>45901</v>
      </c>
      <c r="E5" s="35">
        <v>0.5</v>
      </c>
      <c r="F5" s="5"/>
      <c r="G5" s="14" t="s">
        <v>35</v>
      </c>
      <c r="H5" s="69" cm="1">
        <f t="array" ref="H5">SUMPRODUCT(('2025-하반기'!$A:$A=$G5)*('2025-하반기'!$B:$B=H$2))</f>
        <v>2</v>
      </c>
      <c r="I5" s="69" cm="1">
        <f t="array" ref="I5">SUMPRODUCT(('2025-하반기'!$A:$A=$G5)*('2025-하반기'!$B:$B=I$2))</f>
        <v>27</v>
      </c>
      <c r="J5" s="6" cm="1">
        <f t="array" ref="J5">SUMPRODUCT(('2025-하반기'!$A:$A=$G5)*('2025-하반기'!$B:$B=J$2))</f>
        <v>0</v>
      </c>
      <c r="K5" s="6" cm="1">
        <f t="array" ref="K5">SUMPRODUCT(('2025-하반기'!$A:$A=$G5)*('2025-하반기'!$B:$B=K$2))</f>
        <v>0</v>
      </c>
      <c r="L5" s="6" cm="1">
        <f t="array" ref="L5">SUMPRODUCT(('2025-하반기'!$A:$A=$G5)*('2025-하반기'!$B:$B=L$2))</f>
        <v>0</v>
      </c>
      <c r="M5" s="6" cm="1">
        <f t="array" ref="M5">SUMPRODUCT(('2025-하반기'!$A:$A=$G5)*('2025-하반기'!$B:$B=M$2))</f>
        <v>0</v>
      </c>
      <c r="N5" s="6" cm="1">
        <f t="array" ref="N5">SUMPRODUCT(('2025-하반기'!$A:$A=$G5)*('2025-하반기'!$B:$B=N$2))</f>
        <v>0</v>
      </c>
      <c r="O5" s="13">
        <f t="shared" si="1"/>
        <v>29</v>
      </c>
      <c r="P5" s="7"/>
      <c r="Q5" s="14" t="s">
        <v>35</v>
      </c>
      <c r="R5" s="71">
        <v>9</v>
      </c>
      <c r="S5" s="6">
        <v>3</v>
      </c>
      <c r="T5" s="6">
        <v>11</v>
      </c>
      <c r="U5" s="6">
        <v>4</v>
      </c>
      <c r="V5" s="6">
        <v>2</v>
      </c>
      <c r="W5" s="6">
        <v>0</v>
      </c>
      <c r="X5" s="13">
        <f t="shared" si="0"/>
        <v>29</v>
      </c>
    </row>
    <row r="6" spans="1:27" ht="13.5" customHeight="1" x14ac:dyDescent="0.3">
      <c r="A6" s="6" t="s">
        <v>37</v>
      </c>
      <c r="B6" s="39" t="s">
        <v>60</v>
      </c>
      <c r="C6" s="24" t="s">
        <v>20</v>
      </c>
      <c r="D6" s="31">
        <v>45901</v>
      </c>
      <c r="E6" s="35">
        <v>0.4375</v>
      </c>
      <c r="F6" s="5"/>
      <c r="G6" s="14" t="s">
        <v>36</v>
      </c>
      <c r="H6" s="6" cm="1">
        <f t="array" ref="H6">SUMPRODUCT(('2025-하반기'!$A:$A=$G6)*('2025-하반기'!$B:$B=H$2))</f>
        <v>0</v>
      </c>
      <c r="I6" s="69" cm="1">
        <f t="array" ref="I6">SUMPRODUCT(('2025-하반기'!$A:$A=$G6)*('2025-하반기'!$B:$B=I$2))</f>
        <v>18</v>
      </c>
      <c r="J6" s="69" cm="1">
        <f t="array" ref="J6">SUMPRODUCT(('2025-하반기'!$A:$A=$G6)*('2025-하반기'!$B:$B=J$2))</f>
        <v>14</v>
      </c>
      <c r="K6" s="6" cm="1">
        <f t="array" ref="K6">SUMPRODUCT(('2025-하반기'!$A:$A=$G6)*('2025-하반기'!$B:$B=K$2))</f>
        <v>0</v>
      </c>
      <c r="L6" s="6" cm="1">
        <f t="array" ref="L6">SUMPRODUCT(('2025-하반기'!$A:$A=$G6)*('2025-하반기'!$B:$B=L$2))</f>
        <v>0</v>
      </c>
      <c r="M6" s="6" cm="1">
        <f t="array" ref="M6">SUMPRODUCT(('2025-하반기'!$A:$A=$G6)*('2025-하반기'!$B:$B=M$2))</f>
        <v>0</v>
      </c>
      <c r="N6" s="6" cm="1">
        <f t="array" ref="N6">SUMPRODUCT(('2025-하반기'!$A:$A=$G6)*('2025-하반기'!$B:$B=N$2))</f>
        <v>0</v>
      </c>
      <c r="O6" s="13">
        <f t="shared" si="1"/>
        <v>32</v>
      </c>
      <c r="P6" s="15"/>
      <c r="Q6" s="14" t="s">
        <v>36</v>
      </c>
      <c r="R6" s="6">
        <v>8</v>
      </c>
      <c r="S6" s="6">
        <v>6</v>
      </c>
      <c r="T6" s="6">
        <v>8</v>
      </c>
      <c r="U6" s="6">
        <v>4</v>
      </c>
      <c r="V6" s="6">
        <v>4</v>
      </c>
      <c r="W6" s="6">
        <v>2</v>
      </c>
      <c r="X6" s="13">
        <f t="shared" si="0"/>
        <v>32</v>
      </c>
    </row>
    <row r="7" spans="1:27" ht="13.5" customHeight="1" x14ac:dyDescent="0.3">
      <c r="A7" s="6" t="s">
        <v>89</v>
      </c>
      <c r="B7" s="39" t="s">
        <v>60</v>
      </c>
      <c r="C7" s="24" t="s">
        <v>20</v>
      </c>
      <c r="D7" s="31">
        <v>45901</v>
      </c>
      <c r="E7" s="58" t="s">
        <v>75</v>
      </c>
      <c r="F7" s="1" t="s">
        <v>106</v>
      </c>
      <c r="G7" s="14" t="s">
        <v>30</v>
      </c>
      <c r="H7" s="6" cm="1">
        <f t="array" ref="H7">SUMPRODUCT(('2025-하반기'!$A:$A=$G7)*('2025-하반기'!$B:$B=H$2))</f>
        <v>0</v>
      </c>
      <c r="I7" s="69" cm="1">
        <f t="array" ref="I7">SUMPRODUCT(('2025-하반기'!$A:$A=$G7)*('2025-하반기'!$B:$B=I$2))</f>
        <v>1</v>
      </c>
      <c r="J7" s="6" cm="1">
        <f t="array" ref="J7">SUMPRODUCT(('2025-하반기'!$A:$A=$G7)*('2025-하반기'!$B:$B=J$2))</f>
        <v>0</v>
      </c>
      <c r="K7" s="6" cm="1">
        <f t="array" ref="K7">SUMPRODUCT(('2025-하반기'!$A:$A=$G7)*('2025-하반기'!$B:$B=K$2))</f>
        <v>0</v>
      </c>
      <c r="L7" s="69" cm="1">
        <f t="array" ref="L7">SUMPRODUCT(('2025-하반기'!$A:$A=$G7)*('2025-하반기'!$B:$B=L$2))</f>
        <v>18</v>
      </c>
      <c r="M7" s="6" cm="1">
        <f t="array" ref="M7">SUMPRODUCT(('2025-하반기'!$A:$A=$G7)*('2025-하반기'!$B:$B=M$2))</f>
        <v>0</v>
      </c>
      <c r="N7" s="6" cm="1">
        <f t="array" ref="N7">SUMPRODUCT(('2025-하반기'!$A:$A=$G7)*('2025-하반기'!$B:$B=N$2))</f>
        <v>0</v>
      </c>
      <c r="O7" s="13">
        <f t="shared" si="1"/>
        <v>19</v>
      </c>
      <c r="P7" s="7"/>
      <c r="Q7" s="14" t="s">
        <v>30</v>
      </c>
      <c r="R7" s="6">
        <v>8</v>
      </c>
      <c r="S7" s="6">
        <v>2</v>
      </c>
      <c r="T7" s="6">
        <v>9</v>
      </c>
      <c r="U7" s="6">
        <v>0</v>
      </c>
      <c r="V7" s="6">
        <v>0</v>
      </c>
      <c r="W7" s="6">
        <v>0</v>
      </c>
      <c r="X7" s="13">
        <f t="shared" si="0"/>
        <v>19</v>
      </c>
    </row>
    <row r="8" spans="1:27" ht="13.5" customHeight="1" x14ac:dyDescent="0.3">
      <c r="A8" s="6" t="s">
        <v>37</v>
      </c>
      <c r="B8" s="39" t="s">
        <v>60</v>
      </c>
      <c r="C8" s="24" t="s">
        <v>20</v>
      </c>
      <c r="D8" s="31">
        <v>45901</v>
      </c>
      <c r="E8" s="35">
        <v>0.52083333333333337</v>
      </c>
      <c r="G8" s="14" t="s">
        <v>37</v>
      </c>
      <c r="H8" s="69" cm="1">
        <f t="array" ref="H8">SUMPRODUCT(('2025-하반기'!$A:$A=$G8)*('2025-하반기'!$B:$B=H$2))</f>
        <v>7</v>
      </c>
      <c r="I8" s="69" cm="1">
        <f t="array" ref="I8">SUMPRODUCT(('2025-하반기'!$A:$A=$G8)*('2025-하반기'!$B:$B=I$2))</f>
        <v>32</v>
      </c>
      <c r="J8" s="6" cm="1">
        <f t="array" ref="J8">SUMPRODUCT(('2025-하반기'!$A:$A=$G8)*('2025-하반기'!$B:$B=J$2))</f>
        <v>0</v>
      </c>
      <c r="K8" s="6" cm="1">
        <f t="array" ref="K8">SUMPRODUCT(('2025-하반기'!$A:$A=$G8)*('2025-하반기'!$B:$B=K$2))</f>
        <v>0</v>
      </c>
      <c r="L8" s="6" cm="1">
        <f t="array" ref="L8">SUMPRODUCT(('2025-하반기'!$A:$A=$G8)*('2025-하반기'!$B:$B=L$2))</f>
        <v>0</v>
      </c>
      <c r="M8" s="6" cm="1">
        <f t="array" ref="M8">SUMPRODUCT(('2025-하반기'!$A:$A=$G8)*('2025-하반기'!$B:$B=M$2))</f>
        <v>0</v>
      </c>
      <c r="N8" s="6" cm="1">
        <f t="array" ref="N8">SUMPRODUCT(('2025-하반기'!$A:$A=$G8)*('2025-하반기'!$B:$B=N$2))</f>
        <v>0</v>
      </c>
      <c r="O8" s="13">
        <f t="shared" si="1"/>
        <v>39</v>
      </c>
      <c r="P8" s="16"/>
      <c r="Q8" s="14" t="s">
        <v>37</v>
      </c>
      <c r="R8" s="71">
        <v>16</v>
      </c>
      <c r="S8" s="71">
        <v>5</v>
      </c>
      <c r="T8" s="6">
        <v>11</v>
      </c>
      <c r="U8" s="6">
        <v>2</v>
      </c>
      <c r="V8" s="6">
        <v>4</v>
      </c>
      <c r="W8" s="6">
        <v>0</v>
      </c>
      <c r="X8" s="13">
        <f t="shared" si="0"/>
        <v>38</v>
      </c>
    </row>
    <row r="9" spans="1:27" ht="13.5" customHeight="1" x14ac:dyDescent="0.3">
      <c r="A9" s="53" t="s">
        <v>37</v>
      </c>
      <c r="B9" s="39" t="s">
        <v>7</v>
      </c>
      <c r="C9" s="24" t="s">
        <v>20</v>
      </c>
      <c r="D9" s="31">
        <v>45901</v>
      </c>
      <c r="E9" s="50">
        <v>0.58333333333333337</v>
      </c>
      <c r="G9" s="14" t="s">
        <v>38</v>
      </c>
      <c r="H9" s="69" cm="1">
        <f t="array" ref="H9">SUMPRODUCT(('2025-하반기'!$A:$A=$G9)*('2025-하반기'!$B:$B=H$2))</f>
        <v>13</v>
      </c>
      <c r="I9" s="69" cm="1">
        <f t="array" ref="I9">SUMPRODUCT(('2025-하반기'!$A:$A=$G9)*('2025-하반기'!$B:$B=I$2))</f>
        <v>33</v>
      </c>
      <c r="J9" s="6" cm="1">
        <f t="array" ref="J9">SUMPRODUCT(('2025-하반기'!$A:$A=$G9)*('2025-하반기'!$B:$B=J$2))</f>
        <v>0</v>
      </c>
      <c r="K9" s="6" cm="1">
        <f t="array" ref="K9">SUMPRODUCT(('2025-하반기'!$A:$A=$G9)*('2025-하반기'!$B:$B=K$2))</f>
        <v>0</v>
      </c>
      <c r="L9" s="6" cm="1">
        <f t="array" ref="L9">SUMPRODUCT(('2025-하반기'!$A:$A=$G9)*('2025-하반기'!$B:$B=L$2))</f>
        <v>0</v>
      </c>
      <c r="M9" s="6" cm="1">
        <f t="array" ref="M9">SUMPRODUCT(('2025-하반기'!$A:$A=$G9)*('2025-하반기'!$B:$B=M$2))</f>
        <v>0</v>
      </c>
      <c r="N9" s="6" cm="1">
        <f t="array" ref="N9">SUMPRODUCT(('2025-하반기'!$A:$A=$G9)*('2025-하반기'!$B:$B=N$2))</f>
        <v>0</v>
      </c>
      <c r="O9" s="13">
        <f t="shared" si="1"/>
        <v>46</v>
      </c>
      <c r="P9" s="7"/>
      <c r="Q9" s="14" t="s">
        <v>38</v>
      </c>
      <c r="R9" s="6">
        <v>14</v>
      </c>
      <c r="S9" s="6">
        <v>9</v>
      </c>
      <c r="T9" s="6">
        <v>11</v>
      </c>
      <c r="U9" s="6">
        <v>4</v>
      </c>
      <c r="V9" s="6">
        <v>4</v>
      </c>
      <c r="W9" s="6">
        <v>4</v>
      </c>
      <c r="X9" s="13">
        <f t="shared" si="0"/>
        <v>46</v>
      </c>
    </row>
    <row r="10" spans="1:27" ht="13.5" customHeight="1" x14ac:dyDescent="0.3">
      <c r="A10" s="53" t="s">
        <v>72</v>
      </c>
      <c r="B10" s="39" t="s">
        <v>7</v>
      </c>
      <c r="C10" s="24" t="s">
        <v>20</v>
      </c>
      <c r="D10" s="31">
        <v>45901</v>
      </c>
      <c r="E10" s="50">
        <v>0.625</v>
      </c>
      <c r="G10" s="14"/>
      <c r="H10" s="6"/>
      <c r="I10" s="6"/>
      <c r="J10" s="6"/>
      <c r="K10" s="6"/>
      <c r="L10" s="6"/>
      <c r="M10" s="6"/>
      <c r="N10" s="6"/>
      <c r="O10" s="13"/>
      <c r="P10" s="7"/>
      <c r="Q10" s="14"/>
      <c r="R10" s="6"/>
      <c r="S10" s="6"/>
      <c r="T10" s="6"/>
      <c r="U10" s="6"/>
      <c r="V10" s="6"/>
      <c r="W10" s="6"/>
      <c r="X10" s="13"/>
    </row>
    <row r="11" spans="1:27" ht="13.5" customHeight="1" x14ac:dyDescent="0.3">
      <c r="A11" s="53" t="s">
        <v>72</v>
      </c>
      <c r="B11" s="39" t="s">
        <v>7</v>
      </c>
      <c r="C11" s="65" t="s">
        <v>58</v>
      </c>
      <c r="D11" s="31">
        <v>45901</v>
      </c>
      <c r="E11" s="50">
        <v>0.66666666666666663</v>
      </c>
      <c r="G11" s="14"/>
      <c r="H11" s="6"/>
      <c r="I11" s="6"/>
      <c r="J11" s="6"/>
      <c r="K11" s="6"/>
      <c r="L11" s="6"/>
      <c r="M11" s="6"/>
      <c r="N11" s="6"/>
      <c r="O11" s="13"/>
      <c r="P11" s="7"/>
      <c r="Q11" s="14"/>
      <c r="R11" s="6"/>
      <c r="S11" s="6"/>
      <c r="T11" s="6"/>
      <c r="U11" s="6"/>
      <c r="V11" s="6"/>
      <c r="W11" s="6"/>
      <c r="X11" s="13"/>
    </row>
    <row r="12" spans="1:27" ht="13.5" customHeight="1" x14ac:dyDescent="0.3">
      <c r="A12" s="6" t="s">
        <v>34</v>
      </c>
      <c r="B12" s="39" t="s">
        <v>60</v>
      </c>
      <c r="C12" s="24" t="s">
        <v>20</v>
      </c>
      <c r="D12" s="31">
        <v>45901</v>
      </c>
      <c r="E12" s="35">
        <v>0.54166666666666663</v>
      </c>
      <c r="G12" s="14" t="s">
        <v>22</v>
      </c>
      <c r="H12" s="6" cm="1">
        <f t="array" ref="H12">SUMPRODUCT(('2025-하반기'!$A:$A=$G12)*('2025-하반기'!$B:$B=H$2))</f>
        <v>0</v>
      </c>
      <c r="I12" s="6" cm="1">
        <f t="array" ref="I12">SUMPRODUCT(('2025-하반기'!$A:$A=$G12)*('2025-하반기'!$B:$B=I$2))</f>
        <v>0</v>
      </c>
      <c r="J12" s="6" cm="1">
        <f t="array" ref="J12">SUMPRODUCT(('2025-하반기'!$A:$A=$G12)*('2025-하반기'!$B:$B=J$2))</f>
        <v>0</v>
      </c>
      <c r="K12" s="69" cm="1">
        <f t="array" ref="K12">SUMPRODUCT(('2025-하반기'!$A:$A=$G12)*('2025-하반기'!$B:$B=K$2))</f>
        <v>20</v>
      </c>
      <c r="L12" s="6" cm="1">
        <f t="array" ref="L12">SUMPRODUCT(('2025-하반기'!$A:$A=$G12)*('2025-하반기'!$B:$B=L$2))</f>
        <v>0</v>
      </c>
      <c r="M12" s="6" cm="1">
        <f t="array" ref="M12">SUMPRODUCT(('2025-하반기'!$A:$A=$G12)*('2025-하반기'!$B:$B=M$2))</f>
        <v>0</v>
      </c>
      <c r="N12" s="6" cm="1">
        <f t="array" ref="N12">SUMPRODUCT(('2025-하반기'!$A:$A=$G12)*('2025-하반기'!$B:$B=N$2))</f>
        <v>0</v>
      </c>
      <c r="O12" s="13">
        <f t="shared" si="1"/>
        <v>20</v>
      </c>
      <c r="P12" s="7"/>
      <c r="Q12" s="14" t="s">
        <v>22</v>
      </c>
      <c r="R12" s="6">
        <v>4</v>
      </c>
      <c r="S12" s="6">
        <v>2</v>
      </c>
      <c r="T12" s="6">
        <v>4</v>
      </c>
      <c r="U12" s="6">
        <v>2</v>
      </c>
      <c r="V12" s="6">
        <v>4</v>
      </c>
      <c r="W12" s="6">
        <v>2</v>
      </c>
      <c r="X12" s="13">
        <f t="shared" si="0"/>
        <v>18</v>
      </c>
    </row>
    <row r="13" spans="1:27" ht="13.5" customHeight="1" x14ac:dyDescent="0.3">
      <c r="A13" s="6" t="s">
        <v>34</v>
      </c>
      <c r="B13" s="39" t="s">
        <v>60</v>
      </c>
      <c r="C13" s="65" t="s">
        <v>58</v>
      </c>
      <c r="D13" s="31">
        <v>45901</v>
      </c>
      <c r="E13" s="35">
        <v>0.58333333333333337</v>
      </c>
      <c r="F13" s="5"/>
      <c r="G13" s="14" t="s">
        <v>29</v>
      </c>
      <c r="H13" s="69" cm="1">
        <f t="array" ref="H13">SUMPRODUCT(('2025-하반기'!$A:$A=$G13)*('2025-하반기'!$B:$B=H$2))</f>
        <v>36</v>
      </c>
      <c r="I13" s="6" cm="1">
        <f t="array" ref="I13">SUMPRODUCT(('2025-하반기'!$A:$A=$G13)*('2025-하반기'!$B:$B=I$2))</f>
        <v>6</v>
      </c>
      <c r="J13" s="6" cm="1">
        <f t="array" ref="J13">SUMPRODUCT(('2025-하반기'!$A:$A=$G13)*('2025-하반기'!$B:$B=J$2))</f>
        <v>0</v>
      </c>
      <c r="K13" s="6" cm="1">
        <f t="array" ref="K13">SUMPRODUCT(('2025-하반기'!$A:$A=$G13)*('2025-하반기'!$B:$B=K$2))</f>
        <v>0</v>
      </c>
      <c r="L13" s="6" cm="1">
        <f t="array" ref="L13">SUMPRODUCT(('2025-하반기'!$A:$A=$G13)*('2025-하반기'!$B:$B=L$2))</f>
        <v>0</v>
      </c>
      <c r="M13" s="6" cm="1">
        <f t="array" ref="M13">SUMPRODUCT(('2025-하반기'!$A:$A=$G13)*('2025-하반기'!$B:$B=M$2))</f>
        <v>0</v>
      </c>
      <c r="N13" s="6" cm="1">
        <f t="array" ref="N13">SUMPRODUCT(('2025-하반기'!$A:$A=$G13)*('2025-하반기'!$B:$B=N$2))</f>
        <v>0</v>
      </c>
      <c r="O13" s="13">
        <f t="shared" si="1"/>
        <v>42</v>
      </c>
      <c r="P13" s="7"/>
      <c r="Q13" s="14" t="s">
        <v>29</v>
      </c>
      <c r="R13" s="6">
        <v>15</v>
      </c>
      <c r="S13" s="6">
        <v>3</v>
      </c>
      <c r="T13" s="6">
        <v>11</v>
      </c>
      <c r="U13" s="6">
        <v>6</v>
      </c>
      <c r="V13" s="6">
        <v>4</v>
      </c>
      <c r="W13" s="6">
        <v>4</v>
      </c>
      <c r="X13" s="13">
        <f t="shared" si="0"/>
        <v>43</v>
      </c>
    </row>
    <row r="14" spans="1:27" ht="13.5" customHeight="1" x14ac:dyDescent="0.3">
      <c r="A14" s="6" t="s">
        <v>34</v>
      </c>
      <c r="B14" s="39" t="s">
        <v>60</v>
      </c>
      <c r="C14" s="24" t="s">
        <v>20</v>
      </c>
      <c r="D14" s="31">
        <v>45901</v>
      </c>
      <c r="E14" s="35">
        <v>0.625</v>
      </c>
      <c r="F14" s="5"/>
      <c r="G14" s="14" t="s">
        <v>39</v>
      </c>
      <c r="H14" s="6" cm="1">
        <f t="array" ref="H14">SUMPRODUCT(('2025-하반기'!$A:$A=$G14)*('2025-하반기'!$B:$B=H$2))</f>
        <v>0</v>
      </c>
      <c r="I14" s="69" cm="1">
        <f t="array" ref="I14">SUMPRODUCT(('2025-하반기'!$A:$A=$G14)*('2025-하반기'!$B:$B=I$2))</f>
        <v>53</v>
      </c>
      <c r="J14" s="69" cm="1">
        <f t="array" ref="J14">SUMPRODUCT(('2025-하반기'!$A:$A=$G14)*('2025-하반기'!$B:$B=J$2))</f>
        <v>14</v>
      </c>
      <c r="K14" s="6" cm="1">
        <f t="array" ref="K14">SUMPRODUCT(('2025-하반기'!$A:$A=$G14)*('2025-하반기'!$B:$B=K$2))</f>
        <v>0</v>
      </c>
      <c r="L14" s="6" cm="1">
        <f t="array" ref="L14">SUMPRODUCT(('2025-하반기'!$A:$A=$G14)*('2025-하반기'!$B:$B=L$2))</f>
        <v>0</v>
      </c>
      <c r="M14" s="6" cm="1">
        <f t="array" ref="M14">SUMPRODUCT(('2025-하반기'!$A:$A=$G14)*('2025-하반기'!$B:$B=M$2))</f>
        <v>0</v>
      </c>
      <c r="N14" s="6" cm="1">
        <f t="array" ref="N14">SUMPRODUCT(('2025-하반기'!$A:$A=$G14)*('2025-하반기'!$B:$B=N$2))</f>
        <v>0</v>
      </c>
      <c r="O14" s="13">
        <f t="shared" si="1"/>
        <v>67</v>
      </c>
      <c r="P14" s="6"/>
      <c r="Q14" s="14" t="s">
        <v>39</v>
      </c>
      <c r="R14" s="6">
        <v>27</v>
      </c>
      <c r="S14" s="6">
        <v>3</v>
      </c>
      <c r="T14" s="6">
        <v>20</v>
      </c>
      <c r="U14" s="6">
        <v>4</v>
      </c>
      <c r="V14" s="6">
        <v>4</v>
      </c>
      <c r="W14" s="6">
        <v>2</v>
      </c>
      <c r="X14" s="13">
        <f t="shared" si="0"/>
        <v>60</v>
      </c>
    </row>
    <row r="15" spans="1:27" ht="13.5" customHeight="1" x14ac:dyDescent="0.3">
      <c r="A15" s="6" t="s">
        <v>34</v>
      </c>
      <c r="B15" s="39" t="s">
        <v>60</v>
      </c>
      <c r="C15" s="65" t="s">
        <v>58</v>
      </c>
      <c r="D15" s="31">
        <v>45901</v>
      </c>
      <c r="E15" s="35">
        <v>0.66666666666666663</v>
      </c>
      <c r="G15" s="14" t="s">
        <v>27</v>
      </c>
      <c r="H15" s="6" cm="1">
        <f t="array" ref="H15">SUMPRODUCT(('2025-하반기'!$A:$A=$G15)*('2025-하반기'!$B:$B=H$2))</f>
        <v>0</v>
      </c>
      <c r="I15" s="6" cm="1">
        <f t="array" ref="I15">SUMPRODUCT(('2025-하반기'!$A:$A=$G15)*('2025-하반기'!$B:$B=I$2))</f>
        <v>0</v>
      </c>
      <c r="J15" s="6" cm="1">
        <f t="array" ref="J15">SUMPRODUCT(('2025-하반기'!$A:$A=$G15)*('2025-하반기'!$B:$B=J$2))</f>
        <v>0</v>
      </c>
      <c r="K15" s="6" cm="1">
        <f t="array" ref="K15">SUMPRODUCT(('2025-하반기'!$A:$A=$G15)*('2025-하반기'!$B:$B=K$2))</f>
        <v>0</v>
      </c>
      <c r="L15" s="6" cm="1">
        <f t="array" ref="L15">SUMPRODUCT(('2025-하반기'!$A:$A=$G15)*('2025-하반기'!$B:$B=L$2))</f>
        <v>0</v>
      </c>
      <c r="M15" s="6" cm="1">
        <f t="array" ref="M15">SUMPRODUCT(('2025-하반기'!$A:$A=$G15)*('2025-하반기'!$B:$B=M$2))</f>
        <v>0</v>
      </c>
      <c r="N15" s="6" cm="1">
        <f t="array" ref="N15">SUMPRODUCT(('2025-하반기'!$A:$A=$G15)*('2025-하반기'!$B:$B=N$2))</f>
        <v>9</v>
      </c>
      <c r="O15" s="13">
        <f t="shared" si="1"/>
        <v>9</v>
      </c>
      <c r="P15" s="7"/>
      <c r="Q15" s="14" t="s">
        <v>27</v>
      </c>
      <c r="R15" s="6">
        <v>0</v>
      </c>
      <c r="S15" s="6">
        <v>0</v>
      </c>
      <c r="T15" s="6">
        <v>9</v>
      </c>
      <c r="U15" s="6">
        <v>0</v>
      </c>
      <c r="V15" s="6">
        <v>0</v>
      </c>
      <c r="W15" s="6">
        <v>0</v>
      </c>
      <c r="X15" s="13">
        <f t="shared" si="0"/>
        <v>9</v>
      </c>
    </row>
    <row r="16" spans="1:27" ht="13.5" customHeight="1" x14ac:dyDescent="0.3">
      <c r="A16" s="6" t="s">
        <v>51</v>
      </c>
      <c r="B16" s="39" t="s">
        <v>60</v>
      </c>
      <c r="C16" s="24" t="s">
        <v>77</v>
      </c>
      <c r="D16" s="31">
        <v>45902</v>
      </c>
      <c r="E16" s="35">
        <v>0.41666666666666669</v>
      </c>
      <c r="G16" s="14" t="s">
        <v>40</v>
      </c>
      <c r="H16" s="6" cm="1">
        <f t="array" ref="H16">SUMPRODUCT(('2025-하반기'!$A:$A=$G16)*('2025-하반기'!$B:$B=H$2))</f>
        <v>0</v>
      </c>
      <c r="I16" s="69" cm="1">
        <f t="array" ref="I16">SUMPRODUCT(('2025-하반기'!$A:$A=$G16)*('2025-하반기'!$B:$B=I$2))</f>
        <v>3</v>
      </c>
      <c r="J16" s="6" cm="1">
        <f t="array" ref="J16">SUMPRODUCT(('2025-하반기'!$A:$A=$G16)*('2025-하반기'!$B:$B=J$2))</f>
        <v>0</v>
      </c>
      <c r="K16" s="6" cm="1">
        <f t="array" ref="K16">SUMPRODUCT(('2025-하반기'!$A:$A=$G16)*('2025-하반기'!$B:$B=K$2))</f>
        <v>0</v>
      </c>
      <c r="L16" s="6" cm="1">
        <f t="array" ref="L16">SUMPRODUCT(('2025-하반기'!$A:$A=$G16)*('2025-하반기'!$B:$B=L$2))</f>
        <v>0</v>
      </c>
      <c r="M16" s="69" cm="1">
        <f t="array" ref="M16">SUMPRODUCT(('2025-하반기'!$A:$A=$G16)*('2025-하반기'!$B:$B=M$2))</f>
        <v>17</v>
      </c>
      <c r="N16" s="6" cm="1">
        <f t="array" ref="N16">SUMPRODUCT(('2025-하반기'!$A:$A=$G16)*('2025-하반기'!$B:$B=N$2))</f>
        <v>0</v>
      </c>
      <c r="O16" s="13">
        <f t="shared" si="1"/>
        <v>20</v>
      </c>
      <c r="P16" s="7"/>
      <c r="Q16" s="14" t="s">
        <v>40</v>
      </c>
      <c r="R16" s="6">
        <v>8</v>
      </c>
      <c r="S16" s="6">
        <v>6</v>
      </c>
      <c r="T16" s="6">
        <v>6</v>
      </c>
      <c r="U16" s="6">
        <v>0</v>
      </c>
      <c r="V16" s="6">
        <v>0</v>
      </c>
      <c r="W16" s="6">
        <v>0</v>
      </c>
      <c r="X16" s="13">
        <f t="shared" si="0"/>
        <v>20</v>
      </c>
    </row>
    <row r="17" spans="1:24" ht="13.5" customHeight="1" x14ac:dyDescent="0.3">
      <c r="A17" s="6" t="s">
        <v>51</v>
      </c>
      <c r="B17" s="39" t="s">
        <v>60</v>
      </c>
      <c r="C17" s="24" t="s">
        <v>77</v>
      </c>
      <c r="D17" s="31">
        <v>45902</v>
      </c>
      <c r="E17" s="35">
        <v>0.45833333333333331</v>
      </c>
      <c r="G17" s="14" t="s">
        <v>41</v>
      </c>
      <c r="H17" s="6" cm="1">
        <f t="array" ref="H17">SUMPRODUCT(('2025-하반기'!$A:$A=$G17)*('2025-하반기'!$B:$B=H$2))</f>
        <v>0</v>
      </c>
      <c r="I17" s="69" cm="1">
        <f t="array" ref="I17">SUMPRODUCT(('2025-하반기'!$A:$A=$G17)*('2025-하반기'!$B:$B=I$2))</f>
        <v>66</v>
      </c>
      <c r="J17" s="6" cm="1">
        <f t="array" ref="J17">SUMPRODUCT(('2025-하반기'!$A:$A=$G17)*('2025-하반기'!$B:$B=J$2))</f>
        <v>0</v>
      </c>
      <c r="K17" s="6" cm="1">
        <f t="array" ref="K17">SUMPRODUCT(('2025-하반기'!$A:$A=$G17)*('2025-하반기'!$B:$B=K$2))</f>
        <v>0</v>
      </c>
      <c r="L17" s="6" cm="1">
        <f t="array" ref="L17">SUMPRODUCT(('2025-하반기'!$A:$A=$G17)*('2025-하반기'!$B:$B=L$2))</f>
        <v>0</v>
      </c>
      <c r="M17" s="6" cm="1">
        <f t="array" ref="M17">SUMPRODUCT(('2025-하반기'!$A:$A=$G17)*('2025-하반기'!$B:$B=M$2))</f>
        <v>0</v>
      </c>
      <c r="N17" s="6" cm="1">
        <f t="array" ref="N17">SUMPRODUCT(('2025-하반기'!$A:$A=$G17)*('2025-하반기'!$B:$B=N$2))</f>
        <v>0</v>
      </c>
      <c r="O17" s="13">
        <f t="shared" si="1"/>
        <v>66</v>
      </c>
      <c r="P17" s="7"/>
      <c r="Q17" s="14" t="s">
        <v>41</v>
      </c>
      <c r="R17" s="6">
        <v>21</v>
      </c>
      <c r="S17" s="71">
        <v>12</v>
      </c>
      <c r="T17" s="6">
        <v>20</v>
      </c>
      <c r="U17" s="6">
        <v>6</v>
      </c>
      <c r="V17" s="6">
        <v>4</v>
      </c>
      <c r="W17" s="6">
        <v>0</v>
      </c>
      <c r="X17" s="13">
        <f t="shared" si="0"/>
        <v>63</v>
      </c>
    </row>
    <row r="18" spans="1:24" ht="13.5" customHeight="1" x14ac:dyDescent="0.3">
      <c r="A18" s="6" t="s">
        <v>51</v>
      </c>
      <c r="B18" s="39" t="s">
        <v>60</v>
      </c>
      <c r="C18" s="24" t="s">
        <v>77</v>
      </c>
      <c r="D18" s="31">
        <v>45902</v>
      </c>
      <c r="E18" s="35">
        <v>0.5</v>
      </c>
      <c r="G18" s="14" t="s">
        <v>42</v>
      </c>
      <c r="H18" s="6" cm="1">
        <f t="array" ref="H18">SUMPRODUCT(('2025-하반기'!$A:$A=$G18)*('2025-하반기'!$B:$B=H$2))</f>
        <v>0</v>
      </c>
      <c r="I18" s="69" cm="1">
        <f t="array" ref="I18">SUMPRODUCT(('2025-하반기'!$A:$A=$G18)*('2025-하반기'!$B:$B=I$2))</f>
        <v>43</v>
      </c>
      <c r="J18" s="6" cm="1">
        <f t="array" ref="J18">SUMPRODUCT(('2025-하반기'!$A:$A=$G18)*('2025-하반기'!$B:$B=J$2))</f>
        <v>0</v>
      </c>
      <c r="K18" s="6" cm="1">
        <f t="array" ref="K18">SUMPRODUCT(('2025-하반기'!$A:$A=$G18)*('2025-하반기'!$B:$B=K$2))</f>
        <v>0</v>
      </c>
      <c r="L18" s="6" cm="1">
        <f t="array" ref="L18">SUMPRODUCT(('2025-하반기'!$A:$A=$G18)*('2025-하반기'!$B:$B=L$2))</f>
        <v>0</v>
      </c>
      <c r="M18" s="6" cm="1">
        <f t="array" ref="M18">SUMPRODUCT(('2025-하반기'!$A:$A=$G18)*('2025-하반기'!$B:$B=M$2))</f>
        <v>0</v>
      </c>
      <c r="N18" s="6" cm="1">
        <f t="array" ref="N18">SUMPRODUCT(('2025-하반기'!$A:$A=$G18)*('2025-하반기'!$B:$B=N$2))</f>
        <v>0</v>
      </c>
      <c r="O18" s="13">
        <f t="shared" si="1"/>
        <v>43</v>
      </c>
      <c r="P18" s="7"/>
      <c r="Q18" s="14" t="s">
        <v>42</v>
      </c>
      <c r="R18" s="6">
        <v>9</v>
      </c>
      <c r="S18" s="71">
        <v>12</v>
      </c>
      <c r="T18" s="6">
        <v>11</v>
      </c>
      <c r="U18" s="6">
        <v>6</v>
      </c>
      <c r="V18" s="6">
        <v>4</v>
      </c>
      <c r="W18" s="6">
        <v>2</v>
      </c>
      <c r="X18" s="13">
        <f t="shared" si="0"/>
        <v>44</v>
      </c>
    </row>
    <row r="19" spans="1:24" ht="13.5" customHeight="1" x14ac:dyDescent="0.3">
      <c r="A19" s="6" t="s">
        <v>39</v>
      </c>
      <c r="B19" s="40" t="s">
        <v>64</v>
      </c>
      <c r="C19" s="24" t="s">
        <v>74</v>
      </c>
      <c r="D19" s="31">
        <v>45902</v>
      </c>
      <c r="E19" s="35">
        <v>0.41666666666666669</v>
      </c>
      <c r="G19" s="14" t="s">
        <v>24</v>
      </c>
      <c r="H19" s="6" cm="1">
        <f t="array" ref="H19">SUMPRODUCT(('2025-하반기'!$A:$A=$G19)*('2025-하반기'!$B:$B=H$2))</f>
        <v>2</v>
      </c>
      <c r="I19" s="69" cm="1">
        <f t="array" ref="I19">SUMPRODUCT(('2025-하반기'!$A:$A=$G19)*('2025-하반기'!$B:$B=I$2))</f>
        <v>4</v>
      </c>
      <c r="J19" s="6" cm="1">
        <f t="array" ref="J19">SUMPRODUCT(('2025-하반기'!$A:$A=$G19)*('2025-하반기'!$B:$B=J$2))</f>
        <v>0</v>
      </c>
      <c r="K19" s="6" cm="1">
        <f t="array" ref="K19">SUMPRODUCT(('2025-하반기'!$A:$A=$G19)*('2025-하반기'!$B:$B=K$2))</f>
        <v>0</v>
      </c>
      <c r="L19" s="69" cm="1">
        <f t="array" ref="L19">SUMPRODUCT(('2025-하반기'!$A:$A=$G19)*('2025-하반기'!$B:$B=L$2))</f>
        <v>32</v>
      </c>
      <c r="M19" s="6" cm="1">
        <f t="array" ref="M19">SUMPRODUCT(('2025-하반기'!$A:$A=$G19)*('2025-하반기'!$B:$B=M$2))</f>
        <v>0</v>
      </c>
      <c r="N19" s="6" cm="1">
        <f t="array" ref="N19">SUMPRODUCT(('2025-하반기'!$A:$A=$G19)*('2025-하반기'!$B:$B=N$2))</f>
        <v>0</v>
      </c>
      <c r="O19" s="13">
        <f t="shared" si="1"/>
        <v>38</v>
      </c>
      <c r="P19" s="7"/>
      <c r="Q19" s="14" t="s">
        <v>24</v>
      </c>
      <c r="R19" s="71">
        <v>15</v>
      </c>
      <c r="S19" s="6">
        <v>3</v>
      </c>
      <c r="T19" s="6">
        <v>11</v>
      </c>
      <c r="U19" s="6">
        <v>4</v>
      </c>
      <c r="V19" s="6">
        <v>2</v>
      </c>
      <c r="W19" s="6">
        <v>2</v>
      </c>
      <c r="X19" s="13">
        <f t="shared" si="0"/>
        <v>37</v>
      </c>
    </row>
    <row r="20" spans="1:24" ht="13.5" customHeight="1" x14ac:dyDescent="0.3">
      <c r="A20" s="6" t="s">
        <v>39</v>
      </c>
      <c r="B20" s="39" t="s">
        <v>60</v>
      </c>
      <c r="C20" s="24" t="s">
        <v>74</v>
      </c>
      <c r="D20" s="31">
        <v>45902</v>
      </c>
      <c r="E20" s="35">
        <v>0.45833333333333331</v>
      </c>
      <c r="G20" s="14" t="s">
        <v>31</v>
      </c>
      <c r="H20" s="6" cm="1">
        <f t="array" ref="H20">SUMPRODUCT(('2025-하반기'!$A:$A=$G20)*('2025-하반기'!$B:$B=H$2))</f>
        <v>0</v>
      </c>
      <c r="I20" s="6" cm="1">
        <f t="array" ref="I20">SUMPRODUCT(('2025-하반기'!$A:$A=$G20)*('2025-하반기'!$B:$B=I$2))</f>
        <v>0</v>
      </c>
      <c r="J20" s="6" cm="1">
        <f t="array" ref="J20">SUMPRODUCT(('2025-하반기'!$A:$A=$G20)*('2025-하반기'!$B:$B=J$2))</f>
        <v>0</v>
      </c>
      <c r="K20" s="69" cm="1">
        <f t="array" ref="K20">SUMPRODUCT(('2025-하반기'!$A:$A=$G20)*('2025-하반기'!$B:$B=K$2))</f>
        <v>14</v>
      </c>
      <c r="L20" s="6" cm="1">
        <f t="array" ref="L20">SUMPRODUCT(('2025-하반기'!$A:$A=$G20)*('2025-하반기'!$B:$B=L$2))</f>
        <v>0</v>
      </c>
      <c r="M20" s="6" cm="1">
        <f t="array" ref="M20">SUMPRODUCT(('2025-하반기'!$A:$A=$G20)*('2025-하반기'!$B:$B=M$2))</f>
        <v>0</v>
      </c>
      <c r="N20" s="6" cm="1">
        <f t="array" ref="N20">SUMPRODUCT(('2025-하반기'!$A:$A=$G20)*('2025-하반기'!$B:$B=N$2))</f>
        <v>0</v>
      </c>
      <c r="O20" s="13">
        <f t="shared" si="1"/>
        <v>14</v>
      </c>
      <c r="P20" s="7"/>
      <c r="Q20" s="14" t="s">
        <v>31</v>
      </c>
      <c r="R20" s="6">
        <v>4</v>
      </c>
      <c r="S20" s="6">
        <v>2</v>
      </c>
      <c r="T20" s="6">
        <v>4</v>
      </c>
      <c r="U20" s="6">
        <v>2</v>
      </c>
      <c r="V20" s="6">
        <v>4</v>
      </c>
      <c r="W20" s="6">
        <v>0</v>
      </c>
      <c r="X20" s="13">
        <f t="shared" si="0"/>
        <v>16</v>
      </c>
    </row>
    <row r="21" spans="1:24" ht="13.5" customHeight="1" x14ac:dyDescent="0.3">
      <c r="A21" s="6" t="s">
        <v>39</v>
      </c>
      <c r="B21" s="39" t="s">
        <v>60</v>
      </c>
      <c r="C21" s="24" t="s">
        <v>74</v>
      </c>
      <c r="D21" s="31">
        <v>45902</v>
      </c>
      <c r="E21" s="35">
        <v>0.5</v>
      </c>
      <c r="G21" s="14" t="s">
        <v>13</v>
      </c>
      <c r="H21" s="69" cm="1">
        <f t="array" ref="H21">SUMPRODUCT(('2025-하반기'!$A:$A=$G21)*('2025-하반기'!$B:$B=H$2))</f>
        <v>6</v>
      </c>
      <c r="I21" s="69" cm="1">
        <f t="array" ref="I21">SUMPRODUCT(('2025-하반기'!$A:$A=$G21)*('2025-하반기'!$B:$B=I$2))</f>
        <v>26</v>
      </c>
      <c r="J21" s="6" cm="1">
        <f t="array" ref="J21">SUMPRODUCT(('2025-하반기'!$A:$A=$G21)*('2025-하반기'!$B:$B=J$2))</f>
        <v>0</v>
      </c>
      <c r="K21" s="6" cm="1">
        <f t="array" ref="K21">SUMPRODUCT(('2025-하반기'!$A:$A=$G21)*('2025-하반기'!$B:$B=K$2))</f>
        <v>0</v>
      </c>
      <c r="L21" s="6" cm="1">
        <f t="array" ref="L21">SUMPRODUCT(('2025-하반기'!$A:$A=$G21)*('2025-하반기'!$B:$B=L$2))</f>
        <v>0</v>
      </c>
      <c r="M21" s="6" cm="1">
        <f t="array" ref="M21">SUMPRODUCT(('2025-하반기'!$A:$A=$G21)*('2025-하반기'!$B:$B=M$2))</f>
        <v>0</v>
      </c>
      <c r="N21" s="6" cm="1">
        <f t="array" ref="N21">SUMPRODUCT(('2025-하반기'!$A:$A=$G21)*('2025-하반기'!$B:$B=N$2))</f>
        <v>0</v>
      </c>
      <c r="O21" s="13">
        <f t="shared" si="1"/>
        <v>32</v>
      </c>
      <c r="P21" s="6"/>
      <c r="Q21" s="14" t="s">
        <v>13</v>
      </c>
      <c r="R21" s="6">
        <v>10</v>
      </c>
      <c r="S21" s="6">
        <v>6</v>
      </c>
      <c r="T21" s="6">
        <v>8</v>
      </c>
      <c r="U21" s="6">
        <v>4</v>
      </c>
      <c r="V21" s="6">
        <v>4</v>
      </c>
      <c r="W21" s="6">
        <v>2</v>
      </c>
      <c r="X21" s="13">
        <f t="shared" si="0"/>
        <v>34</v>
      </c>
    </row>
    <row r="22" spans="1:24" ht="13.5" customHeight="1" x14ac:dyDescent="0.3">
      <c r="A22" s="6" t="s">
        <v>39</v>
      </c>
      <c r="B22" s="39" t="s">
        <v>60</v>
      </c>
      <c r="C22" s="24" t="s">
        <v>74</v>
      </c>
      <c r="D22" s="31">
        <v>45902</v>
      </c>
      <c r="E22" s="35">
        <v>0.58333333333333337</v>
      </c>
      <c r="G22" s="14"/>
      <c r="H22" s="6"/>
      <c r="I22" s="6"/>
      <c r="J22" s="6"/>
      <c r="K22" s="6"/>
      <c r="L22" s="6"/>
      <c r="M22" s="6"/>
      <c r="N22" s="6"/>
      <c r="O22" s="13"/>
      <c r="P22" s="6"/>
      <c r="Q22" s="14"/>
      <c r="R22" s="6"/>
      <c r="S22" s="6"/>
      <c r="T22" s="6"/>
      <c r="U22" s="6"/>
      <c r="V22" s="6"/>
      <c r="W22" s="6"/>
      <c r="X22" s="13"/>
    </row>
    <row r="23" spans="1:24" ht="13.5" customHeight="1" x14ac:dyDescent="0.3">
      <c r="A23" s="6" t="s">
        <v>39</v>
      </c>
      <c r="B23" s="39" t="s">
        <v>60</v>
      </c>
      <c r="C23" s="24" t="s">
        <v>74</v>
      </c>
      <c r="D23" s="31">
        <v>45902</v>
      </c>
      <c r="E23" s="35">
        <v>0.625</v>
      </c>
      <c r="G23" s="14"/>
      <c r="H23" s="6"/>
      <c r="I23" s="6"/>
      <c r="J23" s="6"/>
      <c r="K23" s="6"/>
      <c r="L23" s="6"/>
      <c r="M23" s="6"/>
      <c r="N23" s="6"/>
      <c r="O23" s="13"/>
      <c r="P23" s="6"/>
      <c r="Q23" s="14"/>
      <c r="R23" s="6"/>
      <c r="S23" s="6"/>
      <c r="T23" s="6"/>
      <c r="U23" s="6"/>
      <c r="V23" s="6"/>
      <c r="W23" s="6"/>
      <c r="X23" s="13"/>
    </row>
    <row r="24" spans="1:24" ht="13.5" customHeight="1" x14ac:dyDescent="0.3">
      <c r="A24" s="6" t="s">
        <v>39</v>
      </c>
      <c r="B24" s="39" t="s">
        <v>60</v>
      </c>
      <c r="C24" s="24" t="s">
        <v>74</v>
      </c>
      <c r="D24" s="31">
        <v>45902</v>
      </c>
      <c r="E24" s="35">
        <v>0.66666666666666663</v>
      </c>
      <c r="G24" s="14"/>
      <c r="H24" s="6"/>
      <c r="I24" s="6"/>
      <c r="J24" s="6"/>
      <c r="K24" s="6"/>
      <c r="L24" s="6"/>
      <c r="M24" s="6"/>
      <c r="N24" s="6"/>
      <c r="O24" s="13"/>
      <c r="P24" s="6"/>
      <c r="Q24" s="14"/>
      <c r="R24" s="6"/>
      <c r="S24" s="6"/>
      <c r="T24" s="6"/>
      <c r="U24" s="6"/>
      <c r="V24" s="6"/>
      <c r="W24" s="6"/>
      <c r="X24" s="13"/>
    </row>
    <row r="25" spans="1:24" ht="13.5" customHeight="1" x14ac:dyDescent="0.3">
      <c r="A25" s="14" t="s">
        <v>76</v>
      </c>
      <c r="B25" s="39" t="s">
        <v>60</v>
      </c>
      <c r="C25" s="24" t="s">
        <v>77</v>
      </c>
      <c r="D25" s="31">
        <v>45902</v>
      </c>
      <c r="E25" s="35">
        <v>0.47916666666666669</v>
      </c>
      <c r="G25" s="14" t="s">
        <v>25</v>
      </c>
      <c r="H25" s="6" cm="1">
        <f t="array" ref="H25">SUMPRODUCT(('2025-하반기'!$A:$A=$G25)*('2025-하반기'!$B:$B=H$2))</f>
        <v>0</v>
      </c>
      <c r="I25" s="6" cm="1">
        <f t="array" ref="I25">SUMPRODUCT(('2025-하반기'!$A:$A=$G25)*('2025-하반기'!$B:$B=I$2))</f>
        <v>0</v>
      </c>
      <c r="J25" s="6" cm="1">
        <f t="array" ref="J25">SUMPRODUCT(('2025-하반기'!$A:$A=$G25)*('2025-하반기'!$B:$B=J$2))</f>
        <v>0</v>
      </c>
      <c r="K25" s="6" cm="1">
        <f t="array" ref="K25">SUMPRODUCT(('2025-하반기'!$A:$A=$G25)*('2025-하반기'!$B:$B=K$2))</f>
        <v>0</v>
      </c>
      <c r="L25" s="6" cm="1">
        <f t="array" ref="L25">SUMPRODUCT(('2025-하반기'!$A:$A=$G25)*('2025-하반기'!$B:$B=L$2))</f>
        <v>0</v>
      </c>
      <c r="M25" s="6" cm="1">
        <f t="array" ref="M25">SUMPRODUCT(('2025-하반기'!$A:$A=$G25)*('2025-하반기'!$B:$B=M$2))</f>
        <v>0</v>
      </c>
      <c r="N25" s="6" cm="1">
        <f t="array" ref="N25">SUMPRODUCT(('2025-하반기'!$A:$A=$G25)*('2025-하반기'!$B:$B=N$2))</f>
        <v>0</v>
      </c>
      <c r="O25" s="13">
        <f t="shared" si="1"/>
        <v>0</v>
      </c>
      <c r="P25" s="6"/>
      <c r="Q25" s="14" t="s">
        <v>25</v>
      </c>
      <c r="R25" s="6" t="s">
        <v>26</v>
      </c>
      <c r="S25" s="6" t="s">
        <v>26</v>
      </c>
      <c r="T25" s="6" t="s">
        <v>26</v>
      </c>
      <c r="U25" s="6" t="s">
        <v>26</v>
      </c>
      <c r="V25" s="6" t="s">
        <v>26</v>
      </c>
      <c r="W25" s="6" t="s">
        <v>26</v>
      </c>
      <c r="X25" s="13">
        <f t="shared" si="0"/>
        <v>0</v>
      </c>
    </row>
    <row r="26" spans="1:24" ht="13.5" customHeight="1" thickBot="1" x14ac:dyDescent="0.35">
      <c r="A26" s="14" t="s">
        <v>76</v>
      </c>
      <c r="B26" s="39" t="s">
        <v>60</v>
      </c>
      <c r="C26" s="24" t="s">
        <v>77</v>
      </c>
      <c r="D26" s="31">
        <v>45902</v>
      </c>
      <c r="E26" s="35">
        <v>0.52083333333333337</v>
      </c>
      <c r="G26" s="17" t="s">
        <v>33</v>
      </c>
      <c r="H26" s="46">
        <f t="shared" ref="H26:N26" si="2">SUM(H3:H25)</f>
        <v>104</v>
      </c>
      <c r="I26" s="46">
        <f t="shared" si="2"/>
        <v>345</v>
      </c>
      <c r="J26" s="46">
        <f t="shared" si="2"/>
        <v>28</v>
      </c>
      <c r="K26" s="46">
        <f t="shared" si="2"/>
        <v>34</v>
      </c>
      <c r="L26" s="46">
        <f t="shared" si="2"/>
        <v>50</v>
      </c>
      <c r="M26" s="46">
        <f t="shared" si="2"/>
        <v>17</v>
      </c>
      <c r="N26" s="46">
        <f t="shared" si="2"/>
        <v>9</v>
      </c>
      <c r="O26" s="18">
        <f>SUM(O3:O25)</f>
        <v>587</v>
      </c>
      <c r="P26" s="10"/>
      <c r="Q26" s="17" t="s">
        <v>33</v>
      </c>
      <c r="R26" s="18">
        <f t="shared" ref="R26:X26" si="3">SUM(R3:R25)</f>
        <v>193</v>
      </c>
      <c r="S26" s="18">
        <f t="shared" si="3"/>
        <v>85</v>
      </c>
      <c r="T26" s="18">
        <f t="shared" si="3"/>
        <v>174</v>
      </c>
      <c r="U26" s="18">
        <f t="shared" si="3"/>
        <v>56</v>
      </c>
      <c r="V26" s="18">
        <f t="shared" si="3"/>
        <v>50</v>
      </c>
      <c r="W26" s="18">
        <f t="shared" si="3"/>
        <v>24</v>
      </c>
      <c r="X26" s="73">
        <f t="shared" si="3"/>
        <v>582</v>
      </c>
    </row>
    <row r="27" spans="1:24" ht="13.5" customHeight="1" thickTop="1" x14ac:dyDescent="0.3">
      <c r="A27" s="14" t="s">
        <v>76</v>
      </c>
      <c r="B27" s="39" t="s">
        <v>60</v>
      </c>
      <c r="C27" s="24" t="s">
        <v>77</v>
      </c>
      <c r="D27" s="31">
        <v>45902</v>
      </c>
      <c r="E27" s="35">
        <v>0.5625</v>
      </c>
      <c r="G27" s="1"/>
      <c r="H27" s="1"/>
      <c r="I27" s="1"/>
      <c r="J27" s="1"/>
      <c r="K27" s="1"/>
      <c r="L27" s="1"/>
      <c r="M27" s="1"/>
      <c r="N27" s="66">
        <f>SUM(I26:N26)</f>
        <v>483</v>
      </c>
      <c r="O27" s="18">
        <f>SUM(H26:N26)</f>
        <v>587</v>
      </c>
      <c r="P27" s="19"/>
      <c r="R27" s="1"/>
      <c r="S27" s="1"/>
      <c r="T27" s="1"/>
      <c r="U27" s="1"/>
      <c r="V27" s="1"/>
      <c r="W27" s="1"/>
      <c r="X27" s="18">
        <f>SUM(R26:W26)</f>
        <v>582</v>
      </c>
    </row>
    <row r="28" spans="1:24" ht="13.5" customHeight="1" x14ac:dyDescent="0.3">
      <c r="A28" s="6" t="s">
        <v>13</v>
      </c>
      <c r="B28" s="39" t="s">
        <v>60</v>
      </c>
      <c r="C28" s="24" t="s">
        <v>58</v>
      </c>
      <c r="D28" s="31">
        <v>45903</v>
      </c>
      <c r="E28" s="35">
        <v>0.41666666666666669</v>
      </c>
      <c r="G28" s="67"/>
      <c r="H28" s="1"/>
      <c r="I28" s="1"/>
      <c r="J28" s="1"/>
      <c r="K28" s="1"/>
      <c r="L28" s="1"/>
      <c r="M28" s="1"/>
      <c r="N28" s="1"/>
    </row>
    <row r="29" spans="1:24" ht="13.5" customHeight="1" x14ac:dyDescent="0.3">
      <c r="A29" s="6" t="s">
        <v>68</v>
      </c>
      <c r="B29" s="39" t="s">
        <v>60</v>
      </c>
      <c r="C29" s="24" t="s">
        <v>58</v>
      </c>
      <c r="D29" s="31">
        <v>45903</v>
      </c>
      <c r="E29" s="35">
        <v>0.45833333333333331</v>
      </c>
    </row>
    <row r="30" spans="1:24" ht="13.5" customHeight="1" x14ac:dyDescent="0.3">
      <c r="A30" s="6" t="s">
        <v>13</v>
      </c>
      <c r="B30" s="39" t="s">
        <v>60</v>
      </c>
      <c r="C30" s="24" t="s">
        <v>58</v>
      </c>
      <c r="D30" s="31">
        <v>45903</v>
      </c>
      <c r="E30" s="35">
        <v>0.5</v>
      </c>
    </row>
    <row r="31" spans="1:24" ht="13.5" customHeight="1" x14ac:dyDescent="0.3">
      <c r="A31" s="6" t="s">
        <v>38</v>
      </c>
      <c r="B31" s="39" t="s">
        <v>60</v>
      </c>
      <c r="C31" s="24" t="s">
        <v>20</v>
      </c>
      <c r="D31" s="31">
        <v>45903</v>
      </c>
      <c r="E31" s="35">
        <v>0.45833333333333331</v>
      </c>
      <c r="G31" s="68" t="s">
        <v>97</v>
      </c>
      <c r="H31" s="1">
        <v>104</v>
      </c>
      <c r="I31" s="1">
        <v>328</v>
      </c>
      <c r="J31" s="1">
        <v>31</v>
      </c>
      <c r="K31" s="1">
        <v>34</v>
      </c>
      <c r="L31" s="1">
        <v>56</v>
      </c>
      <c r="M31" s="1">
        <v>20</v>
      </c>
      <c r="N31" s="1">
        <v>9</v>
      </c>
      <c r="O31" s="72">
        <f>SUM(H31:N31)</f>
        <v>582</v>
      </c>
    </row>
    <row r="32" spans="1:24" ht="13.5" customHeight="1" x14ac:dyDescent="0.3">
      <c r="A32" s="6" t="s">
        <v>38</v>
      </c>
      <c r="B32" s="39" t="s">
        <v>60</v>
      </c>
      <c r="C32" s="24" t="s">
        <v>20</v>
      </c>
      <c r="D32" s="31">
        <v>45903</v>
      </c>
      <c r="E32" s="35">
        <v>0.5</v>
      </c>
      <c r="N32" s="66">
        <f>SUM(I31:N31)</f>
        <v>478</v>
      </c>
    </row>
    <row r="33" spans="1:5" ht="13.5" customHeight="1" x14ac:dyDescent="0.3">
      <c r="A33" s="6" t="s">
        <v>38</v>
      </c>
      <c r="B33" s="39" t="s">
        <v>60</v>
      </c>
      <c r="C33" s="24" t="s">
        <v>20</v>
      </c>
      <c r="D33" s="31">
        <v>45903</v>
      </c>
      <c r="E33" s="35">
        <v>0.54166666666666663</v>
      </c>
    </row>
    <row r="34" spans="1:5" ht="13.5" customHeight="1" x14ac:dyDescent="0.3">
      <c r="A34" s="6" t="s">
        <v>38</v>
      </c>
      <c r="B34" s="39" t="s">
        <v>60</v>
      </c>
      <c r="C34" s="24" t="s">
        <v>20</v>
      </c>
      <c r="D34" s="31">
        <v>45903</v>
      </c>
      <c r="E34" s="35">
        <v>0.58333333333333337</v>
      </c>
    </row>
    <row r="35" spans="1:5" ht="13.5" customHeight="1" x14ac:dyDescent="0.3">
      <c r="A35" s="6" t="s">
        <v>63</v>
      </c>
      <c r="B35" s="41" t="s">
        <v>14</v>
      </c>
      <c r="C35" s="24" t="s">
        <v>59</v>
      </c>
      <c r="D35" s="31">
        <v>45903</v>
      </c>
      <c r="E35" s="35">
        <v>0.625</v>
      </c>
    </row>
    <row r="36" spans="1:5" ht="13.5" customHeight="1" x14ac:dyDescent="0.3">
      <c r="A36" s="6" t="s">
        <v>63</v>
      </c>
      <c r="B36" s="41" t="s">
        <v>65</v>
      </c>
      <c r="C36" s="24" t="s">
        <v>59</v>
      </c>
      <c r="D36" s="31">
        <v>45903</v>
      </c>
      <c r="E36" s="35">
        <v>0.66666666666666663</v>
      </c>
    </row>
    <row r="37" spans="1:5" ht="13.5" customHeight="1" x14ac:dyDescent="0.3">
      <c r="A37" s="6" t="s">
        <v>36</v>
      </c>
      <c r="B37" s="40" t="s">
        <v>64</v>
      </c>
      <c r="C37" s="24"/>
      <c r="D37" s="31">
        <v>45904</v>
      </c>
      <c r="E37" s="35">
        <v>0.41666666666666669</v>
      </c>
    </row>
    <row r="38" spans="1:5" ht="13.5" customHeight="1" x14ac:dyDescent="0.3">
      <c r="A38" s="6" t="s">
        <v>36</v>
      </c>
      <c r="B38" s="39" t="s">
        <v>60</v>
      </c>
      <c r="C38" s="24"/>
      <c r="D38" s="31">
        <v>45904</v>
      </c>
      <c r="E38" s="35">
        <v>0.45833333333333331</v>
      </c>
    </row>
    <row r="39" spans="1:5" ht="13.5" customHeight="1" x14ac:dyDescent="0.3">
      <c r="A39" s="6" t="s">
        <v>40</v>
      </c>
      <c r="B39" s="42" t="s">
        <v>66</v>
      </c>
      <c r="C39" s="24"/>
      <c r="D39" s="31">
        <v>45904</v>
      </c>
      <c r="E39" s="35">
        <v>0.4375</v>
      </c>
    </row>
    <row r="40" spans="1:5" ht="13.5" customHeight="1" x14ac:dyDescent="0.3">
      <c r="A40" s="6" t="s">
        <v>40</v>
      </c>
      <c r="B40" s="42" t="s">
        <v>66</v>
      </c>
      <c r="C40" s="24"/>
      <c r="D40" s="31">
        <v>45904</v>
      </c>
      <c r="E40" s="35">
        <v>0.47916666666666669</v>
      </c>
    </row>
    <row r="41" spans="1:5" ht="13.5" customHeight="1" x14ac:dyDescent="0.3">
      <c r="A41" s="6" t="s">
        <v>50</v>
      </c>
      <c r="B41" s="43" t="s">
        <v>61</v>
      </c>
      <c r="C41" s="24"/>
      <c r="D41" s="31">
        <v>45904</v>
      </c>
      <c r="E41" s="35">
        <v>0.45833333333333331</v>
      </c>
    </row>
    <row r="42" spans="1:5" ht="13.5" customHeight="1" x14ac:dyDescent="0.3">
      <c r="A42" s="6" t="s">
        <v>50</v>
      </c>
      <c r="B42" s="43" t="s">
        <v>61</v>
      </c>
      <c r="C42" s="24"/>
      <c r="D42" s="31">
        <v>45904</v>
      </c>
      <c r="E42" s="35">
        <v>0.5</v>
      </c>
    </row>
    <row r="43" spans="1:5" ht="13.5" customHeight="1" x14ac:dyDescent="0.3">
      <c r="A43" s="6" t="s">
        <v>50</v>
      </c>
      <c r="B43" s="43" t="s">
        <v>61</v>
      </c>
      <c r="C43" s="24"/>
      <c r="D43" s="31">
        <v>45904</v>
      </c>
      <c r="E43" s="35">
        <v>0.54166666666666663</v>
      </c>
    </row>
    <row r="44" spans="1:5" ht="13.5" customHeight="1" x14ac:dyDescent="0.3">
      <c r="A44" s="6" t="s">
        <v>41</v>
      </c>
      <c r="B44" s="39" t="s">
        <v>60</v>
      </c>
      <c r="C44" s="24"/>
      <c r="D44" s="31">
        <v>45905</v>
      </c>
      <c r="E44" s="35">
        <v>0.4375</v>
      </c>
    </row>
    <row r="45" spans="1:5" ht="13.5" customHeight="1" x14ac:dyDescent="0.3">
      <c r="A45" s="6" t="s">
        <v>41</v>
      </c>
      <c r="B45" s="39" t="s">
        <v>60</v>
      </c>
      <c r="C45" s="24"/>
      <c r="D45" s="31">
        <v>45905</v>
      </c>
      <c r="E45" s="35">
        <v>0.47916666666666669</v>
      </c>
    </row>
    <row r="46" spans="1:5" ht="13.5" customHeight="1" x14ac:dyDescent="0.3">
      <c r="A46" s="6" t="s">
        <v>41</v>
      </c>
      <c r="B46" s="39" t="s">
        <v>60</v>
      </c>
      <c r="C46" s="24"/>
      <c r="D46" s="31">
        <v>45905</v>
      </c>
      <c r="E46" s="35">
        <v>0.52083333333333337</v>
      </c>
    </row>
    <row r="47" spans="1:5" ht="13.5" customHeight="1" x14ac:dyDescent="0.3">
      <c r="A47" s="6" t="s">
        <v>42</v>
      </c>
      <c r="B47" s="39" t="s">
        <v>60</v>
      </c>
      <c r="C47" s="24" t="s">
        <v>73</v>
      </c>
      <c r="D47" s="31">
        <v>45905</v>
      </c>
      <c r="E47" s="35">
        <v>0.41666666666666669</v>
      </c>
    </row>
    <row r="48" spans="1:5" ht="13.5" customHeight="1" x14ac:dyDescent="0.3">
      <c r="A48" s="6" t="s">
        <v>42</v>
      </c>
      <c r="B48" s="39" t="s">
        <v>60</v>
      </c>
      <c r="C48" s="24" t="s">
        <v>73</v>
      </c>
      <c r="D48" s="31">
        <v>45905</v>
      </c>
      <c r="E48" s="35">
        <v>0.45833333333333331</v>
      </c>
    </row>
    <row r="49" spans="1:6" ht="13.5" customHeight="1" x14ac:dyDescent="0.3">
      <c r="A49" s="6" t="s">
        <v>42</v>
      </c>
      <c r="B49" s="39" t="s">
        <v>60</v>
      </c>
      <c r="C49" s="24" t="s">
        <v>73</v>
      </c>
      <c r="D49" s="31">
        <v>45905</v>
      </c>
      <c r="E49" s="35">
        <v>0.5</v>
      </c>
    </row>
    <row r="50" spans="1:6" ht="13.5" customHeight="1" x14ac:dyDescent="0.3">
      <c r="A50" s="6" t="s">
        <v>52</v>
      </c>
      <c r="B50" s="38" t="s">
        <v>62</v>
      </c>
      <c r="C50" s="24"/>
      <c r="D50" s="45">
        <v>45906</v>
      </c>
      <c r="E50" s="35">
        <v>0.41666666666666669</v>
      </c>
    </row>
    <row r="51" spans="1:6" ht="13.5" customHeight="1" x14ac:dyDescent="0.3">
      <c r="A51" s="6" t="s">
        <v>52</v>
      </c>
      <c r="B51" s="38" t="s">
        <v>62</v>
      </c>
      <c r="C51" s="24"/>
      <c r="D51" s="45">
        <v>45906</v>
      </c>
      <c r="E51" s="35">
        <v>0.45833333333333331</v>
      </c>
    </row>
    <row r="52" spans="1:6" ht="13.5" customHeight="1" x14ac:dyDescent="0.3">
      <c r="A52" s="6" t="s">
        <v>52</v>
      </c>
      <c r="B52" s="38" t="s">
        <v>62</v>
      </c>
      <c r="C52" s="24"/>
      <c r="D52" s="45">
        <v>45906</v>
      </c>
      <c r="E52" s="35">
        <v>0.5</v>
      </c>
    </row>
    <row r="53" spans="1:6" ht="13.5" customHeight="1" x14ac:dyDescent="0.3">
      <c r="A53" s="6" t="s">
        <v>39</v>
      </c>
      <c r="B53" s="39" t="s">
        <v>60</v>
      </c>
      <c r="C53" s="24" t="s">
        <v>74</v>
      </c>
      <c r="D53" s="45">
        <v>45906</v>
      </c>
      <c r="E53" s="35">
        <v>0.39583333333333331</v>
      </c>
    </row>
    <row r="54" spans="1:6" ht="13.5" customHeight="1" x14ac:dyDescent="0.3">
      <c r="A54" s="6" t="s">
        <v>39</v>
      </c>
      <c r="B54" s="39" t="s">
        <v>60</v>
      </c>
      <c r="C54" s="24" t="s">
        <v>74</v>
      </c>
      <c r="D54" s="45">
        <v>45906</v>
      </c>
      <c r="E54" s="35">
        <v>0.4375</v>
      </c>
    </row>
    <row r="55" spans="1:6" ht="13.5" customHeight="1" x14ac:dyDescent="0.3">
      <c r="A55" s="6" t="s">
        <v>39</v>
      </c>
      <c r="B55" s="39" t="s">
        <v>60</v>
      </c>
      <c r="C55" s="24" t="s">
        <v>74</v>
      </c>
      <c r="D55" s="45">
        <v>45906</v>
      </c>
      <c r="E55" s="35">
        <v>0.47916666666666669</v>
      </c>
    </row>
    <row r="56" spans="1:6" ht="13.5" customHeight="1" x14ac:dyDescent="0.3">
      <c r="A56" s="6" t="s">
        <v>41</v>
      </c>
      <c r="B56" s="39" t="s">
        <v>60</v>
      </c>
      <c r="C56" s="24"/>
      <c r="D56" s="45">
        <v>45906</v>
      </c>
      <c r="E56" s="35">
        <v>0.4375</v>
      </c>
    </row>
    <row r="57" spans="1:6" ht="13.5" customHeight="1" x14ac:dyDescent="0.3">
      <c r="A57" s="6" t="s">
        <v>41</v>
      </c>
      <c r="B57" s="39" t="s">
        <v>60</v>
      </c>
      <c r="C57" s="24"/>
      <c r="D57" s="45">
        <v>45906</v>
      </c>
      <c r="E57" s="35">
        <v>0.47916666666666669</v>
      </c>
    </row>
    <row r="58" spans="1:6" ht="13.5" customHeight="1" x14ac:dyDescent="0.3">
      <c r="A58" s="6" t="s">
        <v>41</v>
      </c>
      <c r="B58" s="39" t="s">
        <v>60</v>
      </c>
      <c r="C58" s="24" t="s">
        <v>20</v>
      </c>
      <c r="D58" s="45">
        <v>45906</v>
      </c>
      <c r="E58" s="35">
        <v>0.52083333333333337</v>
      </c>
    </row>
    <row r="59" spans="1:6" ht="13.5" customHeight="1" x14ac:dyDescent="0.3">
      <c r="A59" s="6" t="s">
        <v>32</v>
      </c>
      <c r="B59" s="38" t="s">
        <v>62</v>
      </c>
      <c r="C59" s="24" t="s">
        <v>20</v>
      </c>
      <c r="D59" s="31">
        <v>45908</v>
      </c>
      <c r="E59" s="35">
        <v>0.41666666666666669</v>
      </c>
    </row>
    <row r="60" spans="1:6" ht="13.5" customHeight="1" x14ac:dyDescent="0.3">
      <c r="A60" s="6" t="s">
        <v>91</v>
      </c>
      <c r="B60" s="38" t="s">
        <v>62</v>
      </c>
      <c r="C60" s="24" t="s">
        <v>20</v>
      </c>
      <c r="D60" s="31">
        <v>45908</v>
      </c>
      <c r="E60" s="58" t="s">
        <v>75</v>
      </c>
      <c r="F60" s="1" t="s">
        <v>94</v>
      </c>
    </row>
    <row r="61" spans="1:6" ht="13.5" customHeight="1" x14ac:dyDescent="0.3">
      <c r="A61" s="6" t="s">
        <v>32</v>
      </c>
      <c r="B61" s="38" t="s">
        <v>62</v>
      </c>
      <c r="C61" s="24" t="s">
        <v>20</v>
      </c>
      <c r="D61" s="31">
        <v>45908</v>
      </c>
      <c r="E61" s="35">
        <v>0.5</v>
      </c>
    </row>
    <row r="62" spans="1:6" ht="13.5" customHeight="1" x14ac:dyDescent="0.3">
      <c r="A62" s="6" t="s">
        <v>37</v>
      </c>
      <c r="B62" s="39" t="s">
        <v>60</v>
      </c>
      <c r="C62" s="24" t="s">
        <v>20</v>
      </c>
      <c r="D62" s="31">
        <v>45908</v>
      </c>
      <c r="E62" s="35">
        <v>0.4375</v>
      </c>
    </row>
    <row r="63" spans="1:6" ht="13.5" customHeight="1" x14ac:dyDescent="0.3">
      <c r="A63" s="6" t="s">
        <v>37</v>
      </c>
      <c r="B63" s="39" t="s">
        <v>60</v>
      </c>
      <c r="C63" s="24" t="s">
        <v>20</v>
      </c>
      <c r="D63" s="31">
        <v>45908</v>
      </c>
      <c r="E63" s="35">
        <v>0.47916666666666669</v>
      </c>
    </row>
    <row r="64" spans="1:6" ht="13.5" customHeight="1" x14ac:dyDescent="0.3">
      <c r="A64" s="6" t="s">
        <v>37</v>
      </c>
      <c r="B64" s="39" t="s">
        <v>60</v>
      </c>
      <c r="C64" s="24" t="s">
        <v>20</v>
      </c>
      <c r="D64" s="31">
        <v>45908</v>
      </c>
      <c r="E64" s="35">
        <v>0.52083333333333337</v>
      </c>
    </row>
    <row r="65" spans="1:6" ht="13.5" customHeight="1" x14ac:dyDescent="0.3">
      <c r="A65" s="6" t="s">
        <v>34</v>
      </c>
      <c r="B65" s="39" t="s">
        <v>60</v>
      </c>
      <c r="C65" s="24" t="s">
        <v>20</v>
      </c>
      <c r="D65" s="31">
        <v>45908</v>
      </c>
      <c r="E65" s="35">
        <v>0.54166666666666663</v>
      </c>
    </row>
    <row r="66" spans="1:6" ht="13.5" customHeight="1" x14ac:dyDescent="0.3">
      <c r="A66" s="6" t="s">
        <v>34</v>
      </c>
      <c r="B66" s="39" t="s">
        <v>60</v>
      </c>
      <c r="C66" s="24" t="s">
        <v>20</v>
      </c>
      <c r="D66" s="31">
        <v>45908</v>
      </c>
      <c r="E66" s="35">
        <v>0.58333333333333337</v>
      </c>
    </row>
    <row r="67" spans="1:6" ht="13.5" customHeight="1" x14ac:dyDescent="0.3">
      <c r="A67" s="6" t="s">
        <v>34</v>
      </c>
      <c r="B67" s="39" t="s">
        <v>60</v>
      </c>
      <c r="C67" s="24" t="s">
        <v>20</v>
      </c>
      <c r="D67" s="31">
        <v>45908</v>
      </c>
      <c r="E67" s="35">
        <v>0.625</v>
      </c>
    </row>
    <row r="68" spans="1:6" ht="13.5" customHeight="1" x14ac:dyDescent="0.3">
      <c r="A68" s="6" t="s">
        <v>51</v>
      </c>
      <c r="B68" s="39" t="s">
        <v>60</v>
      </c>
      <c r="C68" s="24"/>
      <c r="D68" s="31">
        <v>45909</v>
      </c>
      <c r="E68" s="35">
        <v>0.41666666666666669</v>
      </c>
    </row>
    <row r="69" spans="1:6" ht="13.5" customHeight="1" x14ac:dyDescent="0.3">
      <c r="A69" s="6" t="s">
        <v>51</v>
      </c>
      <c r="B69" s="39" t="s">
        <v>60</v>
      </c>
      <c r="C69" s="24"/>
      <c r="D69" s="31">
        <v>45909</v>
      </c>
      <c r="E69" s="35">
        <v>0.45833333333333331</v>
      </c>
    </row>
    <row r="70" spans="1:6" ht="13.5" customHeight="1" x14ac:dyDescent="0.3">
      <c r="A70" s="6" t="s">
        <v>51</v>
      </c>
      <c r="B70" s="39" t="s">
        <v>60</v>
      </c>
      <c r="C70" s="24"/>
      <c r="D70" s="31">
        <v>45909</v>
      </c>
      <c r="E70" s="35">
        <v>0.5</v>
      </c>
    </row>
    <row r="71" spans="1:6" ht="13.5" customHeight="1" x14ac:dyDescent="0.3">
      <c r="A71" s="6" t="s">
        <v>39</v>
      </c>
      <c r="B71" s="40" t="s">
        <v>64</v>
      </c>
      <c r="C71" s="24" t="s">
        <v>74</v>
      </c>
      <c r="D71" s="31">
        <v>45909</v>
      </c>
      <c r="E71" s="35">
        <v>0.41666666666666669</v>
      </c>
    </row>
    <row r="72" spans="1:6" ht="13.5" customHeight="1" x14ac:dyDescent="0.3">
      <c r="A72" s="6" t="s">
        <v>39</v>
      </c>
      <c r="B72" s="39" t="s">
        <v>60</v>
      </c>
      <c r="C72" s="24" t="s">
        <v>74</v>
      </c>
      <c r="D72" s="31">
        <v>45909</v>
      </c>
      <c r="E72" s="35">
        <v>0.45833333333333331</v>
      </c>
    </row>
    <row r="73" spans="1:6" ht="13.5" customHeight="1" x14ac:dyDescent="0.3">
      <c r="A73" s="6" t="s">
        <v>39</v>
      </c>
      <c r="B73" s="39" t="s">
        <v>60</v>
      </c>
      <c r="C73" s="24" t="s">
        <v>74</v>
      </c>
      <c r="D73" s="31">
        <v>45909</v>
      </c>
      <c r="E73" s="35">
        <v>0.5</v>
      </c>
    </row>
    <row r="74" spans="1:6" ht="13.5" customHeight="1" x14ac:dyDescent="0.3">
      <c r="A74" s="6" t="s">
        <v>90</v>
      </c>
      <c r="B74" s="39" t="s">
        <v>60</v>
      </c>
      <c r="C74" s="24"/>
      <c r="D74" s="31">
        <v>45909</v>
      </c>
      <c r="E74" s="58" t="s">
        <v>82</v>
      </c>
      <c r="F74" s="1" t="s">
        <v>111</v>
      </c>
    </row>
    <row r="75" spans="1:6" ht="13.5" customHeight="1" x14ac:dyDescent="0.3">
      <c r="A75" s="6" t="s">
        <v>35</v>
      </c>
      <c r="B75" s="39" t="s">
        <v>60</v>
      </c>
      <c r="C75" s="24"/>
      <c r="D75" s="31">
        <v>45909</v>
      </c>
      <c r="E75" s="35">
        <v>0.52083333333333337</v>
      </c>
    </row>
    <row r="76" spans="1:6" ht="13.5" customHeight="1" x14ac:dyDescent="0.3">
      <c r="A76" s="6" t="s">
        <v>35</v>
      </c>
      <c r="B76" s="39" t="s">
        <v>60</v>
      </c>
      <c r="C76" s="24"/>
      <c r="D76" s="31">
        <v>45909</v>
      </c>
      <c r="E76" s="35">
        <v>0.5625</v>
      </c>
    </row>
    <row r="77" spans="1:6" ht="13.5" customHeight="1" x14ac:dyDescent="0.3">
      <c r="A77" s="6" t="s">
        <v>68</v>
      </c>
      <c r="B77" s="39" t="s">
        <v>60</v>
      </c>
      <c r="C77" s="24"/>
      <c r="D77" s="31">
        <v>45910</v>
      </c>
      <c r="E77" s="35">
        <v>0.41666666666666669</v>
      </c>
    </row>
    <row r="78" spans="1:6" ht="13.5" customHeight="1" x14ac:dyDescent="0.3">
      <c r="A78" s="6" t="s">
        <v>68</v>
      </c>
      <c r="B78" s="39" t="s">
        <v>60</v>
      </c>
      <c r="C78" s="24"/>
      <c r="D78" s="31">
        <v>45910</v>
      </c>
      <c r="E78" s="35">
        <v>0.45833333333333331</v>
      </c>
    </row>
    <row r="79" spans="1:6" ht="13.5" customHeight="1" x14ac:dyDescent="0.3">
      <c r="A79" s="6" t="s">
        <v>68</v>
      </c>
      <c r="B79" s="39" t="s">
        <v>60</v>
      </c>
      <c r="C79" s="24"/>
      <c r="D79" s="31">
        <v>45910</v>
      </c>
      <c r="E79" s="35">
        <v>0.5</v>
      </c>
    </row>
    <row r="80" spans="1:6" ht="13.5" customHeight="1" x14ac:dyDescent="0.3">
      <c r="A80" s="6" t="s">
        <v>38</v>
      </c>
      <c r="B80" s="39" t="s">
        <v>60</v>
      </c>
      <c r="C80" s="24"/>
      <c r="D80" s="31">
        <v>45910</v>
      </c>
      <c r="E80" s="35">
        <v>0.45833333333333331</v>
      </c>
    </row>
    <row r="81" spans="1:5" ht="13.5" customHeight="1" x14ac:dyDescent="0.3">
      <c r="A81" s="6" t="s">
        <v>38</v>
      </c>
      <c r="B81" s="39" t="s">
        <v>60</v>
      </c>
      <c r="C81" s="24"/>
      <c r="D81" s="31">
        <v>45910</v>
      </c>
      <c r="E81" s="35">
        <v>0.5</v>
      </c>
    </row>
    <row r="82" spans="1:5" ht="13.5" customHeight="1" x14ac:dyDescent="0.3">
      <c r="A82" s="6" t="s">
        <v>38</v>
      </c>
      <c r="B82" s="39" t="s">
        <v>60</v>
      </c>
      <c r="C82" s="24"/>
      <c r="D82" s="31">
        <v>45910</v>
      </c>
      <c r="E82" s="35">
        <v>0.54166666666666663</v>
      </c>
    </row>
    <row r="83" spans="1:5" ht="13.5" customHeight="1" x14ac:dyDescent="0.3">
      <c r="A83" s="6" t="s">
        <v>38</v>
      </c>
      <c r="B83" s="39" t="s">
        <v>60</v>
      </c>
      <c r="C83" s="24"/>
      <c r="D83" s="31">
        <v>45910</v>
      </c>
      <c r="E83" s="35">
        <v>0.58333333333333337</v>
      </c>
    </row>
    <row r="84" spans="1:5" ht="13.5" customHeight="1" x14ac:dyDescent="0.3">
      <c r="A84" s="6" t="s">
        <v>36</v>
      </c>
      <c r="B84" s="40" t="s">
        <v>64</v>
      </c>
      <c r="C84" s="24"/>
      <c r="D84" s="31">
        <v>45911</v>
      </c>
      <c r="E84" s="50">
        <v>0.70833333333333337</v>
      </c>
    </row>
    <row r="85" spans="1:5" ht="13.5" customHeight="1" x14ac:dyDescent="0.3">
      <c r="A85" s="6" t="s">
        <v>36</v>
      </c>
      <c r="B85" s="39" t="s">
        <v>60</v>
      </c>
      <c r="C85" s="24"/>
      <c r="D85" s="48">
        <v>45912</v>
      </c>
      <c r="E85" s="50">
        <v>0.75</v>
      </c>
    </row>
    <row r="86" spans="1:5" ht="13.5" customHeight="1" x14ac:dyDescent="0.3">
      <c r="A86" s="6" t="s">
        <v>40</v>
      </c>
      <c r="B86" s="49" t="s">
        <v>78</v>
      </c>
      <c r="C86" s="24"/>
      <c r="D86" s="48">
        <v>45912</v>
      </c>
      <c r="E86" s="35">
        <v>0.4375</v>
      </c>
    </row>
    <row r="87" spans="1:5" ht="13.5" customHeight="1" x14ac:dyDescent="0.3">
      <c r="A87" s="6" t="s">
        <v>40</v>
      </c>
      <c r="B87" s="49" t="s">
        <v>78</v>
      </c>
      <c r="C87" s="24"/>
      <c r="D87" s="48">
        <v>45912</v>
      </c>
      <c r="E87" s="35">
        <v>0.47916666666666669</v>
      </c>
    </row>
    <row r="88" spans="1:5" ht="13.5" customHeight="1" x14ac:dyDescent="0.3">
      <c r="A88" s="6" t="s">
        <v>50</v>
      </c>
      <c r="B88" s="43" t="s">
        <v>61</v>
      </c>
      <c r="C88" s="24"/>
      <c r="D88" s="31">
        <v>45911</v>
      </c>
      <c r="E88" s="35">
        <v>0.45833333333333331</v>
      </c>
    </row>
    <row r="89" spans="1:5" ht="13.5" customHeight="1" x14ac:dyDescent="0.3">
      <c r="A89" s="6" t="s">
        <v>50</v>
      </c>
      <c r="B89" s="43" t="s">
        <v>61</v>
      </c>
      <c r="C89" s="24"/>
      <c r="D89" s="31">
        <v>45911</v>
      </c>
      <c r="E89" s="35">
        <v>0.5</v>
      </c>
    </row>
    <row r="90" spans="1:5" ht="13.5" customHeight="1" x14ac:dyDescent="0.3">
      <c r="A90" s="6" t="s">
        <v>50</v>
      </c>
      <c r="B90" s="43" t="s">
        <v>61</v>
      </c>
      <c r="C90" s="24"/>
      <c r="D90" s="31">
        <v>45911</v>
      </c>
      <c r="E90" s="35">
        <v>0.54166666666666663</v>
      </c>
    </row>
    <row r="91" spans="1:5" ht="13.5" customHeight="1" x14ac:dyDescent="0.3">
      <c r="A91" s="6" t="s">
        <v>41</v>
      </c>
      <c r="B91" s="39" t="s">
        <v>60</v>
      </c>
      <c r="C91" s="24"/>
      <c r="D91" s="31">
        <v>45912</v>
      </c>
      <c r="E91" s="35">
        <v>0.4375</v>
      </c>
    </row>
    <row r="92" spans="1:5" ht="13.5" customHeight="1" x14ac:dyDescent="0.3">
      <c r="A92" s="6" t="s">
        <v>41</v>
      </c>
      <c r="B92" s="39" t="s">
        <v>60</v>
      </c>
      <c r="C92" s="24"/>
      <c r="D92" s="31">
        <v>45912</v>
      </c>
      <c r="E92" s="35">
        <v>0.47916666666666669</v>
      </c>
    </row>
    <row r="93" spans="1:5" ht="13.5" customHeight="1" x14ac:dyDescent="0.3">
      <c r="A93" s="6" t="s">
        <v>41</v>
      </c>
      <c r="B93" s="39" t="s">
        <v>60</v>
      </c>
      <c r="C93" s="24"/>
      <c r="D93" s="31">
        <v>45912</v>
      </c>
      <c r="E93" s="35">
        <v>0.52083333333333337</v>
      </c>
    </row>
    <row r="94" spans="1:5" ht="13.5" customHeight="1" x14ac:dyDescent="0.3">
      <c r="A94" s="6" t="s">
        <v>42</v>
      </c>
      <c r="B94" s="39" t="s">
        <v>60</v>
      </c>
      <c r="C94" s="24" t="s">
        <v>73</v>
      </c>
      <c r="D94" s="31">
        <v>45912</v>
      </c>
      <c r="E94" s="35">
        <v>0.41666666666666669</v>
      </c>
    </row>
    <row r="95" spans="1:5" ht="13.5" customHeight="1" x14ac:dyDescent="0.3">
      <c r="A95" s="6" t="s">
        <v>42</v>
      </c>
      <c r="B95" s="39" t="s">
        <v>60</v>
      </c>
      <c r="C95" s="24" t="s">
        <v>73</v>
      </c>
      <c r="D95" s="31">
        <v>45912</v>
      </c>
      <c r="E95" s="35">
        <v>0.45833333333333331</v>
      </c>
    </row>
    <row r="96" spans="1:5" ht="13.5" customHeight="1" x14ac:dyDescent="0.3">
      <c r="A96" s="6" t="s">
        <v>42</v>
      </c>
      <c r="B96" s="39" t="s">
        <v>60</v>
      </c>
      <c r="C96" s="24" t="s">
        <v>73</v>
      </c>
      <c r="D96" s="31">
        <v>45912</v>
      </c>
      <c r="E96" s="35">
        <v>0.5</v>
      </c>
    </row>
    <row r="97" spans="1:5" ht="13.5" customHeight="1" x14ac:dyDescent="0.3">
      <c r="A97" s="6" t="s">
        <v>54</v>
      </c>
      <c r="B97" s="41" t="s">
        <v>65</v>
      </c>
      <c r="C97" s="24" t="s">
        <v>58</v>
      </c>
      <c r="D97" s="31">
        <v>45912</v>
      </c>
      <c r="E97" s="35">
        <v>0.4375</v>
      </c>
    </row>
    <row r="98" spans="1:5" ht="13.5" customHeight="1" x14ac:dyDescent="0.3">
      <c r="A98" s="6" t="s">
        <v>54</v>
      </c>
      <c r="B98" s="41" t="s">
        <v>65</v>
      </c>
      <c r="C98" s="24" t="s">
        <v>58</v>
      </c>
      <c r="D98" s="31">
        <v>45912</v>
      </c>
      <c r="E98" s="35">
        <v>0.47916666666666669</v>
      </c>
    </row>
    <row r="99" spans="1:5" ht="13.5" customHeight="1" x14ac:dyDescent="0.3">
      <c r="A99" s="6" t="s">
        <v>52</v>
      </c>
      <c r="B99" s="38" t="s">
        <v>62</v>
      </c>
      <c r="C99" s="24"/>
      <c r="D99" s="45">
        <v>45913</v>
      </c>
      <c r="E99" s="35">
        <v>0.41666666666666669</v>
      </c>
    </row>
    <row r="100" spans="1:5" ht="13.5" customHeight="1" x14ac:dyDescent="0.3">
      <c r="A100" s="6" t="s">
        <v>52</v>
      </c>
      <c r="B100" s="38" t="s">
        <v>62</v>
      </c>
      <c r="C100" s="24"/>
      <c r="D100" s="45">
        <v>45913</v>
      </c>
      <c r="E100" s="35">
        <v>0.45833333333333331</v>
      </c>
    </row>
    <row r="101" spans="1:5" ht="13.5" customHeight="1" x14ac:dyDescent="0.3">
      <c r="A101" s="6" t="s">
        <v>52</v>
      </c>
      <c r="B101" s="49" t="s">
        <v>78</v>
      </c>
      <c r="C101" s="24"/>
      <c r="D101" s="45">
        <v>45913</v>
      </c>
      <c r="E101" s="35">
        <v>0.5</v>
      </c>
    </row>
    <row r="102" spans="1:5" ht="13.5" customHeight="1" x14ac:dyDescent="0.3">
      <c r="A102" s="6" t="s">
        <v>39</v>
      </c>
      <c r="B102" s="39" t="s">
        <v>60</v>
      </c>
      <c r="C102" s="24" t="s">
        <v>74</v>
      </c>
      <c r="D102" s="45">
        <v>45913</v>
      </c>
      <c r="E102" s="35">
        <v>0.39583333333333331</v>
      </c>
    </row>
    <row r="103" spans="1:5" ht="13.5" customHeight="1" x14ac:dyDescent="0.3">
      <c r="A103" s="6" t="s">
        <v>39</v>
      </c>
      <c r="B103" s="39" t="s">
        <v>60</v>
      </c>
      <c r="C103" s="24" t="s">
        <v>74</v>
      </c>
      <c r="D103" s="45">
        <v>45913</v>
      </c>
      <c r="E103" s="35">
        <v>0.4375</v>
      </c>
    </row>
    <row r="104" spans="1:5" ht="13.5" customHeight="1" x14ac:dyDescent="0.3">
      <c r="A104" s="6" t="s">
        <v>39</v>
      </c>
      <c r="B104" s="39" t="s">
        <v>60</v>
      </c>
      <c r="C104" s="24" t="s">
        <v>74</v>
      </c>
      <c r="D104" s="45">
        <v>45913</v>
      </c>
      <c r="E104" s="35">
        <v>0.47916666666666669</v>
      </c>
    </row>
    <row r="105" spans="1:5" ht="13.5" customHeight="1" x14ac:dyDescent="0.3">
      <c r="A105" s="6" t="s">
        <v>41</v>
      </c>
      <c r="B105" s="39" t="s">
        <v>60</v>
      </c>
      <c r="C105" s="24"/>
      <c r="D105" s="57">
        <v>45927</v>
      </c>
      <c r="E105" s="35">
        <v>0.4375</v>
      </c>
    </row>
    <row r="106" spans="1:5" ht="13.5" customHeight="1" x14ac:dyDescent="0.3">
      <c r="A106" s="6" t="s">
        <v>41</v>
      </c>
      <c r="B106" s="39" t="s">
        <v>60</v>
      </c>
      <c r="C106" s="24"/>
      <c r="D106" s="57">
        <v>45927</v>
      </c>
      <c r="E106" s="35">
        <v>0.47916666666666669</v>
      </c>
    </row>
    <row r="107" spans="1:5" ht="13.5" customHeight="1" x14ac:dyDescent="0.3">
      <c r="A107" s="6" t="s">
        <v>41</v>
      </c>
      <c r="B107" s="39" t="s">
        <v>60</v>
      </c>
      <c r="C107" s="24"/>
      <c r="D107" s="57">
        <v>45927</v>
      </c>
      <c r="E107" s="35">
        <v>0.52083333333333337</v>
      </c>
    </row>
    <row r="108" spans="1:5" ht="13.5" customHeight="1" x14ac:dyDescent="0.3">
      <c r="A108" s="6" t="s">
        <v>32</v>
      </c>
      <c r="B108" s="38" t="s">
        <v>62</v>
      </c>
      <c r="C108" s="24"/>
      <c r="D108" s="31">
        <v>45915</v>
      </c>
      <c r="E108" s="35">
        <v>0.41666666666666669</v>
      </c>
    </row>
    <row r="109" spans="1:5" ht="13.5" customHeight="1" x14ac:dyDescent="0.3">
      <c r="A109" s="6" t="s">
        <v>32</v>
      </c>
      <c r="B109" s="38" t="s">
        <v>62</v>
      </c>
      <c r="C109" s="24"/>
      <c r="D109" s="31">
        <v>45915</v>
      </c>
      <c r="E109" s="35">
        <v>0.45833333333333331</v>
      </c>
    </row>
    <row r="110" spans="1:5" ht="13.5" customHeight="1" x14ac:dyDescent="0.3">
      <c r="A110" s="6" t="s">
        <v>32</v>
      </c>
      <c r="B110" s="38" t="s">
        <v>62</v>
      </c>
      <c r="C110" s="24"/>
      <c r="D110" s="31">
        <v>45915</v>
      </c>
      <c r="E110" s="35">
        <v>0.5</v>
      </c>
    </row>
    <row r="111" spans="1:5" ht="13.5" customHeight="1" x14ac:dyDescent="0.3">
      <c r="A111" s="6" t="s">
        <v>37</v>
      </c>
      <c r="B111" s="39" t="s">
        <v>60</v>
      </c>
      <c r="C111" s="24" t="s">
        <v>20</v>
      </c>
      <c r="D111" s="31">
        <v>45915</v>
      </c>
      <c r="E111" s="50">
        <v>0.41666666666666669</v>
      </c>
    </row>
    <row r="112" spans="1:5" ht="13.5" customHeight="1" x14ac:dyDescent="0.3">
      <c r="A112" s="6" t="s">
        <v>37</v>
      </c>
      <c r="B112" s="39" t="s">
        <v>60</v>
      </c>
      <c r="C112" s="24" t="s">
        <v>20</v>
      </c>
      <c r="D112" s="31">
        <v>45915</v>
      </c>
      <c r="E112" s="50">
        <v>0.45833333333333331</v>
      </c>
    </row>
    <row r="113" spans="1:5" ht="13.5" customHeight="1" x14ac:dyDescent="0.3">
      <c r="A113" s="6" t="s">
        <v>34</v>
      </c>
      <c r="B113" s="39" t="s">
        <v>60</v>
      </c>
      <c r="C113" s="24" t="s">
        <v>20</v>
      </c>
      <c r="D113" s="31">
        <v>45915</v>
      </c>
      <c r="E113" s="35">
        <v>0.54166666666666663</v>
      </c>
    </row>
    <row r="114" spans="1:5" ht="13.5" customHeight="1" x14ac:dyDescent="0.3">
      <c r="A114" s="6" t="s">
        <v>34</v>
      </c>
      <c r="B114" s="39" t="s">
        <v>60</v>
      </c>
      <c r="C114" s="24" t="s">
        <v>20</v>
      </c>
      <c r="D114" s="31">
        <v>45915</v>
      </c>
      <c r="E114" s="35">
        <v>0.58333333333333337</v>
      </c>
    </row>
    <row r="115" spans="1:5" ht="13.5" customHeight="1" x14ac:dyDescent="0.3">
      <c r="A115" s="6" t="s">
        <v>34</v>
      </c>
      <c r="B115" s="39" t="s">
        <v>60</v>
      </c>
      <c r="C115" s="24" t="s">
        <v>20</v>
      </c>
      <c r="D115" s="31">
        <v>45915</v>
      </c>
      <c r="E115" s="35">
        <v>0.625</v>
      </c>
    </row>
    <row r="116" spans="1:5" ht="13.5" customHeight="1" x14ac:dyDescent="0.3">
      <c r="A116" s="6" t="s">
        <v>51</v>
      </c>
      <c r="B116" s="43" t="s">
        <v>61</v>
      </c>
      <c r="C116" s="24"/>
      <c r="D116" s="31">
        <v>45916</v>
      </c>
      <c r="E116" s="35">
        <v>0.41666666666666669</v>
      </c>
    </row>
    <row r="117" spans="1:5" ht="13.5" customHeight="1" x14ac:dyDescent="0.3">
      <c r="A117" s="6" t="s">
        <v>51</v>
      </c>
      <c r="B117" s="43" t="s">
        <v>61</v>
      </c>
      <c r="C117" s="24"/>
      <c r="D117" s="31">
        <v>45916</v>
      </c>
      <c r="E117" s="35">
        <v>0.45833333333333331</v>
      </c>
    </row>
    <row r="118" spans="1:5" ht="13.5" customHeight="1" x14ac:dyDescent="0.3">
      <c r="A118" s="6" t="s">
        <v>51</v>
      </c>
      <c r="B118" s="43" t="s">
        <v>61</v>
      </c>
      <c r="C118" s="24"/>
      <c r="D118" s="31">
        <v>45916</v>
      </c>
      <c r="E118" s="35">
        <v>0.5</v>
      </c>
    </row>
    <row r="119" spans="1:5" ht="13.5" customHeight="1" x14ac:dyDescent="0.3">
      <c r="A119" s="6" t="s">
        <v>39</v>
      </c>
      <c r="B119" s="40" t="s">
        <v>64</v>
      </c>
      <c r="C119" s="24" t="s">
        <v>74</v>
      </c>
      <c r="D119" s="31">
        <v>45916</v>
      </c>
      <c r="E119" s="35">
        <v>0.41666666666666669</v>
      </c>
    </row>
    <row r="120" spans="1:5" ht="13.5" customHeight="1" x14ac:dyDescent="0.3">
      <c r="A120" s="6" t="s">
        <v>39</v>
      </c>
      <c r="B120" s="39" t="s">
        <v>60</v>
      </c>
      <c r="C120" s="24" t="s">
        <v>74</v>
      </c>
      <c r="D120" s="31">
        <v>45916</v>
      </c>
      <c r="E120" s="35">
        <v>0.45833333333333331</v>
      </c>
    </row>
    <row r="121" spans="1:5" ht="13.5" customHeight="1" x14ac:dyDescent="0.3">
      <c r="A121" s="6" t="s">
        <v>39</v>
      </c>
      <c r="B121" s="39" t="s">
        <v>60</v>
      </c>
      <c r="C121" s="24" t="s">
        <v>74</v>
      </c>
      <c r="D121" s="31">
        <v>45916</v>
      </c>
      <c r="E121" s="35">
        <v>0.5</v>
      </c>
    </row>
    <row r="122" spans="1:5" ht="13.5" customHeight="1" x14ac:dyDescent="0.3">
      <c r="A122" s="6" t="s">
        <v>35</v>
      </c>
      <c r="B122" s="39" t="s">
        <v>60</v>
      </c>
      <c r="C122" s="24"/>
      <c r="D122" s="31">
        <v>45916</v>
      </c>
      <c r="E122" s="35">
        <v>0.47916666666666669</v>
      </c>
    </row>
    <row r="123" spans="1:5" ht="13.5" customHeight="1" x14ac:dyDescent="0.3">
      <c r="A123" s="6" t="s">
        <v>35</v>
      </c>
      <c r="B123" s="39" t="s">
        <v>60</v>
      </c>
      <c r="C123" s="24"/>
      <c r="D123" s="31">
        <v>45916</v>
      </c>
      <c r="E123" s="35">
        <v>0.52083333333333337</v>
      </c>
    </row>
    <row r="124" spans="1:5" ht="13.5" customHeight="1" x14ac:dyDescent="0.3">
      <c r="A124" s="6" t="s">
        <v>35</v>
      </c>
      <c r="B124" s="39" t="s">
        <v>60</v>
      </c>
      <c r="C124" s="24"/>
      <c r="D124" s="31">
        <v>45916</v>
      </c>
      <c r="E124" s="35">
        <v>0.5625</v>
      </c>
    </row>
    <row r="125" spans="1:5" ht="13.5" customHeight="1" x14ac:dyDescent="0.3">
      <c r="A125" s="6" t="s">
        <v>68</v>
      </c>
      <c r="B125" s="39" t="s">
        <v>60</v>
      </c>
      <c r="C125" s="24"/>
      <c r="D125" s="31">
        <v>45917</v>
      </c>
      <c r="E125" s="35">
        <v>0.41666666666666669</v>
      </c>
    </row>
    <row r="126" spans="1:5" ht="13.5" customHeight="1" x14ac:dyDescent="0.3">
      <c r="A126" s="6" t="s">
        <v>68</v>
      </c>
      <c r="B126" s="39" t="s">
        <v>60</v>
      </c>
      <c r="C126" s="24"/>
      <c r="D126" s="31">
        <v>45917</v>
      </c>
      <c r="E126" s="35">
        <v>0.45833333333333331</v>
      </c>
    </row>
    <row r="127" spans="1:5" ht="13.5" customHeight="1" x14ac:dyDescent="0.3">
      <c r="A127" s="6" t="s">
        <v>38</v>
      </c>
      <c r="B127" s="39" t="s">
        <v>60</v>
      </c>
      <c r="C127" s="24"/>
      <c r="D127" s="31">
        <v>45917</v>
      </c>
      <c r="E127" s="35">
        <v>0.45833333333333331</v>
      </c>
    </row>
    <row r="128" spans="1:5" ht="13.5" customHeight="1" x14ac:dyDescent="0.3">
      <c r="A128" s="6" t="s">
        <v>38</v>
      </c>
      <c r="B128" s="39" t="s">
        <v>60</v>
      </c>
      <c r="C128" s="24"/>
      <c r="D128" s="31">
        <v>45917</v>
      </c>
      <c r="E128" s="35">
        <v>0.5</v>
      </c>
    </row>
    <row r="129" spans="1:5" ht="13.5" customHeight="1" x14ac:dyDescent="0.3">
      <c r="A129" s="6" t="s">
        <v>38</v>
      </c>
      <c r="B129" s="39" t="s">
        <v>60</v>
      </c>
      <c r="C129" s="24"/>
      <c r="D129" s="31">
        <v>45917</v>
      </c>
      <c r="E129" s="35">
        <v>0.54166666666666663</v>
      </c>
    </row>
    <row r="130" spans="1:5" ht="13.5" customHeight="1" x14ac:dyDescent="0.3">
      <c r="A130" s="6" t="s">
        <v>63</v>
      </c>
      <c r="B130" s="41" t="s">
        <v>65</v>
      </c>
      <c r="C130" s="24" t="s">
        <v>59</v>
      </c>
      <c r="D130" s="31">
        <v>45917</v>
      </c>
      <c r="E130" s="35">
        <v>0.66666666666666663</v>
      </c>
    </row>
    <row r="131" spans="1:5" ht="13.5" customHeight="1" x14ac:dyDescent="0.3">
      <c r="A131" s="6" t="s">
        <v>63</v>
      </c>
      <c r="B131" s="41" t="s">
        <v>65</v>
      </c>
      <c r="C131" s="24" t="s">
        <v>59</v>
      </c>
      <c r="D131" s="31">
        <v>45917</v>
      </c>
      <c r="E131" s="35">
        <v>0.70833333333333337</v>
      </c>
    </row>
    <row r="132" spans="1:5" ht="13.5" customHeight="1" x14ac:dyDescent="0.3">
      <c r="A132" s="6" t="s">
        <v>36</v>
      </c>
      <c r="B132" s="40" t="s">
        <v>64</v>
      </c>
      <c r="C132" s="24"/>
      <c r="D132" s="31">
        <v>45918</v>
      </c>
      <c r="E132" s="35">
        <v>0.41666666666666669</v>
      </c>
    </row>
    <row r="133" spans="1:5" ht="13.5" customHeight="1" x14ac:dyDescent="0.3">
      <c r="A133" s="6" t="s">
        <v>36</v>
      </c>
      <c r="B133" s="39" t="s">
        <v>60</v>
      </c>
      <c r="C133" s="24"/>
      <c r="D133" s="31">
        <v>45918</v>
      </c>
      <c r="E133" s="35">
        <v>0.45833333333333331</v>
      </c>
    </row>
    <row r="134" spans="1:5" ht="13.5" customHeight="1" x14ac:dyDescent="0.3">
      <c r="A134" s="6" t="s">
        <v>40</v>
      </c>
      <c r="B134" s="42" t="s">
        <v>66</v>
      </c>
      <c r="C134" s="24"/>
      <c r="D134" s="31">
        <v>45918</v>
      </c>
      <c r="E134" s="35">
        <v>0.4375</v>
      </c>
    </row>
    <row r="135" spans="1:5" ht="13.5" customHeight="1" x14ac:dyDescent="0.3">
      <c r="A135" s="6" t="s">
        <v>40</v>
      </c>
      <c r="B135" s="42" t="s">
        <v>66</v>
      </c>
      <c r="C135" s="24"/>
      <c r="D135" s="31">
        <v>45918</v>
      </c>
      <c r="E135" s="35">
        <v>0.47916666666666669</v>
      </c>
    </row>
    <row r="136" spans="1:5" ht="13.5" customHeight="1" x14ac:dyDescent="0.3">
      <c r="A136" s="6" t="s">
        <v>50</v>
      </c>
      <c r="B136" s="43" t="s">
        <v>61</v>
      </c>
      <c r="C136" s="24"/>
      <c r="D136" s="31">
        <v>45918</v>
      </c>
      <c r="E136" s="35">
        <v>0.45833333333333331</v>
      </c>
    </row>
    <row r="137" spans="1:5" ht="13.5" customHeight="1" x14ac:dyDescent="0.3">
      <c r="A137" s="6" t="s">
        <v>50</v>
      </c>
      <c r="B137" s="43" t="s">
        <v>61</v>
      </c>
      <c r="C137" s="24"/>
      <c r="D137" s="31">
        <v>45918</v>
      </c>
      <c r="E137" s="35">
        <v>0.5</v>
      </c>
    </row>
    <row r="138" spans="1:5" ht="13.5" customHeight="1" x14ac:dyDescent="0.3">
      <c r="A138" s="6" t="s">
        <v>50</v>
      </c>
      <c r="B138" s="43" t="s">
        <v>61</v>
      </c>
      <c r="C138" s="24"/>
      <c r="D138" s="31">
        <v>45918</v>
      </c>
      <c r="E138" s="35">
        <v>0.54166666666666663</v>
      </c>
    </row>
    <row r="139" spans="1:5" ht="13.5" customHeight="1" x14ac:dyDescent="0.3">
      <c r="A139" s="6" t="s">
        <v>41</v>
      </c>
      <c r="B139" s="39" t="s">
        <v>60</v>
      </c>
      <c r="C139" s="24"/>
      <c r="D139" s="31">
        <v>45919</v>
      </c>
      <c r="E139" s="35">
        <v>0.4375</v>
      </c>
    </row>
    <row r="140" spans="1:5" ht="13.5" customHeight="1" x14ac:dyDescent="0.3">
      <c r="A140" s="6" t="s">
        <v>41</v>
      </c>
      <c r="B140" s="39" t="s">
        <v>60</v>
      </c>
      <c r="C140" s="24"/>
      <c r="D140" s="31">
        <v>45919</v>
      </c>
      <c r="E140" s="35">
        <v>0.47916666666666669</v>
      </c>
    </row>
    <row r="141" spans="1:5" ht="13.5" customHeight="1" x14ac:dyDescent="0.3">
      <c r="A141" s="6" t="s">
        <v>41</v>
      </c>
      <c r="B141" s="39" t="s">
        <v>60</v>
      </c>
      <c r="C141" s="24"/>
      <c r="D141" s="31">
        <v>45919</v>
      </c>
      <c r="E141" s="35">
        <v>0.52083333333333337</v>
      </c>
    </row>
    <row r="142" spans="1:5" ht="13.5" customHeight="1" x14ac:dyDescent="0.3">
      <c r="A142" s="6" t="s">
        <v>42</v>
      </c>
      <c r="B142" s="39" t="s">
        <v>60</v>
      </c>
      <c r="C142" s="24" t="s">
        <v>73</v>
      </c>
      <c r="D142" s="31">
        <v>45919</v>
      </c>
      <c r="E142" s="35">
        <v>0.41666666666666669</v>
      </c>
    </row>
    <row r="143" spans="1:5" ht="13.5" customHeight="1" x14ac:dyDescent="0.3">
      <c r="A143" s="6" t="s">
        <v>42</v>
      </c>
      <c r="B143" s="39" t="s">
        <v>60</v>
      </c>
      <c r="C143" s="24" t="s">
        <v>73</v>
      </c>
      <c r="D143" s="31">
        <v>45919</v>
      </c>
      <c r="E143" s="35">
        <v>0.45833333333333331</v>
      </c>
    </row>
    <row r="144" spans="1:5" ht="13.5" customHeight="1" x14ac:dyDescent="0.3">
      <c r="A144" s="6" t="s">
        <v>42</v>
      </c>
      <c r="B144" s="39" t="s">
        <v>60</v>
      </c>
      <c r="C144" s="24" t="s">
        <v>73</v>
      </c>
      <c r="D144" s="31">
        <v>45919</v>
      </c>
      <c r="E144" s="35">
        <v>0.5</v>
      </c>
    </row>
    <row r="145" spans="1:5" ht="13.5" customHeight="1" x14ac:dyDescent="0.3">
      <c r="A145" s="6" t="s">
        <v>52</v>
      </c>
      <c r="B145" s="38" t="s">
        <v>62</v>
      </c>
      <c r="C145" s="24" t="s">
        <v>58</v>
      </c>
      <c r="D145" s="45">
        <v>45920</v>
      </c>
      <c r="E145" s="35">
        <v>0.41666666666666669</v>
      </c>
    </row>
    <row r="146" spans="1:5" ht="13.5" customHeight="1" x14ac:dyDescent="0.3">
      <c r="A146" s="6" t="s">
        <v>52</v>
      </c>
      <c r="B146" s="38" t="s">
        <v>62</v>
      </c>
      <c r="C146" s="24" t="s">
        <v>58</v>
      </c>
      <c r="D146" s="45">
        <v>45920</v>
      </c>
      <c r="E146" s="35">
        <v>0.45833333333333331</v>
      </c>
    </row>
    <row r="147" spans="1:5" ht="13.5" customHeight="1" x14ac:dyDescent="0.3">
      <c r="A147" s="6" t="s">
        <v>41</v>
      </c>
      <c r="B147" s="39" t="s">
        <v>60</v>
      </c>
      <c r="C147" s="24" t="s">
        <v>58</v>
      </c>
      <c r="D147" s="45">
        <v>45920</v>
      </c>
      <c r="E147" s="35">
        <v>0.4375</v>
      </c>
    </row>
    <row r="148" spans="1:5" ht="13.5" customHeight="1" x14ac:dyDescent="0.3">
      <c r="A148" s="6" t="s">
        <v>41</v>
      </c>
      <c r="B148" s="39" t="s">
        <v>60</v>
      </c>
      <c r="C148" s="24" t="s">
        <v>58</v>
      </c>
      <c r="D148" s="45">
        <v>45920</v>
      </c>
      <c r="E148" s="35">
        <v>0.47916666666666669</v>
      </c>
    </row>
    <row r="149" spans="1:5" ht="13.5" customHeight="1" x14ac:dyDescent="0.3">
      <c r="A149" s="6" t="s">
        <v>41</v>
      </c>
      <c r="B149" s="39" t="s">
        <v>60</v>
      </c>
      <c r="C149" s="24" t="s">
        <v>58</v>
      </c>
      <c r="D149" s="45">
        <v>45920</v>
      </c>
      <c r="E149" s="35">
        <v>0.52083333333333337</v>
      </c>
    </row>
    <row r="150" spans="1:5" ht="13.5" customHeight="1" x14ac:dyDescent="0.3">
      <c r="A150" s="6" t="s">
        <v>32</v>
      </c>
      <c r="B150" s="38" t="s">
        <v>62</v>
      </c>
      <c r="C150" s="24" t="s">
        <v>80</v>
      </c>
      <c r="D150" s="31">
        <v>45922</v>
      </c>
      <c r="E150" s="35">
        <v>0.41666666666666669</v>
      </c>
    </row>
    <row r="151" spans="1:5" ht="13.5" customHeight="1" x14ac:dyDescent="0.3">
      <c r="A151" s="6" t="s">
        <v>32</v>
      </c>
      <c r="B151" s="49" t="s">
        <v>78</v>
      </c>
      <c r="C151" s="65" t="s">
        <v>79</v>
      </c>
      <c r="D151" s="31">
        <v>45922</v>
      </c>
      <c r="E151" s="35">
        <v>0.45833333333333331</v>
      </c>
    </row>
    <row r="152" spans="1:5" ht="13.5" customHeight="1" x14ac:dyDescent="0.3">
      <c r="A152" s="6" t="s">
        <v>32</v>
      </c>
      <c r="B152" s="38" t="s">
        <v>62</v>
      </c>
      <c r="C152" s="24" t="s">
        <v>80</v>
      </c>
      <c r="D152" s="31">
        <v>45922</v>
      </c>
      <c r="E152" s="35">
        <v>0.5</v>
      </c>
    </row>
    <row r="153" spans="1:5" ht="13.5" customHeight="1" x14ac:dyDescent="0.3">
      <c r="A153" s="6" t="s">
        <v>37</v>
      </c>
      <c r="B153" s="39" t="s">
        <v>60</v>
      </c>
      <c r="C153" s="24" t="s">
        <v>20</v>
      </c>
      <c r="D153" s="31">
        <v>45922</v>
      </c>
      <c r="E153" s="35">
        <v>0.4375</v>
      </c>
    </row>
    <row r="154" spans="1:5" ht="13.5" customHeight="1" x14ac:dyDescent="0.3">
      <c r="A154" s="6" t="s">
        <v>37</v>
      </c>
      <c r="B154" s="39" t="s">
        <v>60</v>
      </c>
      <c r="C154" s="24" t="s">
        <v>20</v>
      </c>
      <c r="D154" s="31">
        <v>45922</v>
      </c>
      <c r="E154" s="35">
        <v>0.47916666666666669</v>
      </c>
    </row>
    <row r="155" spans="1:5" ht="13.5" customHeight="1" x14ac:dyDescent="0.3">
      <c r="A155" s="6" t="s">
        <v>37</v>
      </c>
      <c r="B155" s="39" t="s">
        <v>60</v>
      </c>
      <c r="C155" s="24" t="s">
        <v>20</v>
      </c>
      <c r="D155" s="31">
        <v>45922</v>
      </c>
      <c r="E155" s="35">
        <v>0.52083333333333337</v>
      </c>
    </row>
    <row r="156" spans="1:5" ht="13.5" customHeight="1" x14ac:dyDescent="0.3">
      <c r="A156" s="14" t="s">
        <v>81</v>
      </c>
      <c r="B156" s="39" t="s">
        <v>60</v>
      </c>
      <c r="C156" s="24" t="s">
        <v>20</v>
      </c>
      <c r="D156" s="31">
        <v>45922</v>
      </c>
      <c r="E156" s="35">
        <v>0.54166666666666663</v>
      </c>
    </row>
    <row r="157" spans="1:5" ht="13.5" customHeight="1" x14ac:dyDescent="0.3">
      <c r="A157" s="14" t="s">
        <v>81</v>
      </c>
      <c r="B157" s="39" t="s">
        <v>60</v>
      </c>
      <c r="C157" s="24" t="s">
        <v>20</v>
      </c>
      <c r="D157" s="31">
        <v>45922</v>
      </c>
      <c r="E157" s="35">
        <v>0.58333333333333337</v>
      </c>
    </row>
    <row r="158" spans="1:5" ht="13.5" customHeight="1" x14ac:dyDescent="0.3">
      <c r="A158" s="14" t="s">
        <v>81</v>
      </c>
      <c r="B158" s="39" t="s">
        <v>60</v>
      </c>
      <c r="C158" s="24" t="s">
        <v>20</v>
      </c>
      <c r="D158" s="31">
        <v>45922</v>
      </c>
      <c r="E158" s="35">
        <v>0.625</v>
      </c>
    </row>
    <row r="159" spans="1:5" ht="13.5" customHeight="1" x14ac:dyDescent="0.3">
      <c r="A159" s="6" t="s">
        <v>51</v>
      </c>
      <c r="B159" s="43" t="s">
        <v>61</v>
      </c>
      <c r="C159" s="24"/>
      <c r="D159" s="48">
        <v>45926</v>
      </c>
      <c r="E159" s="35">
        <v>0.41666666666666669</v>
      </c>
    </row>
    <row r="160" spans="1:5" ht="13.5" customHeight="1" x14ac:dyDescent="0.3">
      <c r="A160" s="6" t="s">
        <v>51</v>
      </c>
      <c r="B160" s="43" t="s">
        <v>61</v>
      </c>
      <c r="C160" s="24"/>
      <c r="D160" s="48">
        <v>45926</v>
      </c>
      <c r="E160" s="35">
        <v>0.45833333333333331</v>
      </c>
    </row>
    <row r="161" spans="1:5" ht="13.5" customHeight="1" x14ac:dyDescent="0.3">
      <c r="A161" s="6" t="s">
        <v>51</v>
      </c>
      <c r="B161" s="43" t="s">
        <v>61</v>
      </c>
      <c r="C161" s="24"/>
      <c r="D161" s="48">
        <v>45926</v>
      </c>
      <c r="E161" s="35">
        <v>0.5</v>
      </c>
    </row>
    <row r="162" spans="1:5" ht="13.5" customHeight="1" x14ac:dyDescent="0.3">
      <c r="A162" s="6" t="s">
        <v>39</v>
      </c>
      <c r="B162" s="40" t="s">
        <v>64</v>
      </c>
      <c r="C162" s="24" t="s">
        <v>74</v>
      </c>
      <c r="D162" s="31">
        <v>45923</v>
      </c>
      <c r="E162" s="35">
        <v>0.41666666666666669</v>
      </c>
    </row>
    <row r="163" spans="1:5" ht="13.5" customHeight="1" x14ac:dyDescent="0.3">
      <c r="A163" s="6" t="s">
        <v>39</v>
      </c>
      <c r="B163" s="39" t="s">
        <v>60</v>
      </c>
      <c r="C163" s="24" t="s">
        <v>74</v>
      </c>
      <c r="D163" s="31">
        <v>45923</v>
      </c>
      <c r="E163" s="35">
        <v>0.45833333333333331</v>
      </c>
    </row>
    <row r="164" spans="1:5" ht="13.5" customHeight="1" x14ac:dyDescent="0.3">
      <c r="A164" s="6" t="s">
        <v>39</v>
      </c>
      <c r="B164" s="39" t="s">
        <v>60</v>
      </c>
      <c r="C164" s="24" t="s">
        <v>74</v>
      </c>
      <c r="D164" s="31">
        <v>45923</v>
      </c>
      <c r="E164" s="35">
        <v>0.5</v>
      </c>
    </row>
    <row r="165" spans="1:5" ht="13.5" customHeight="1" x14ac:dyDescent="0.3">
      <c r="A165" s="6" t="s">
        <v>35</v>
      </c>
      <c r="B165" s="39" t="s">
        <v>60</v>
      </c>
      <c r="C165" s="24"/>
      <c r="D165" s="31">
        <v>45923</v>
      </c>
      <c r="E165" s="35">
        <v>0.47916666666666669</v>
      </c>
    </row>
    <row r="166" spans="1:5" ht="13.5" customHeight="1" x14ac:dyDescent="0.3">
      <c r="A166" s="6" t="s">
        <v>35</v>
      </c>
      <c r="B166" s="39" t="s">
        <v>60</v>
      </c>
      <c r="C166" s="24"/>
      <c r="D166" s="31">
        <v>45923</v>
      </c>
      <c r="E166" s="35">
        <v>0.52083333333333337</v>
      </c>
    </row>
    <row r="167" spans="1:5" ht="13.5" customHeight="1" x14ac:dyDescent="0.3">
      <c r="A167" s="6" t="s">
        <v>35</v>
      </c>
      <c r="B167" s="39" t="s">
        <v>60</v>
      </c>
      <c r="C167" s="24"/>
      <c r="D167" s="31">
        <v>45923</v>
      </c>
      <c r="E167" s="35">
        <v>0.5625</v>
      </c>
    </row>
    <row r="168" spans="1:5" ht="13.5" customHeight="1" x14ac:dyDescent="0.3">
      <c r="A168" s="6" t="s">
        <v>68</v>
      </c>
      <c r="B168" s="39" t="s">
        <v>60</v>
      </c>
      <c r="C168" s="24"/>
      <c r="D168" s="31">
        <v>45924</v>
      </c>
      <c r="E168" s="35">
        <v>0.41666666666666669</v>
      </c>
    </row>
    <row r="169" spans="1:5" ht="13.5" customHeight="1" x14ac:dyDescent="0.3">
      <c r="A169" s="6" t="s">
        <v>68</v>
      </c>
      <c r="B169" s="39" t="s">
        <v>60</v>
      </c>
      <c r="C169" s="24"/>
      <c r="D169" s="31">
        <v>45924</v>
      </c>
      <c r="E169" s="35">
        <v>0.45833333333333331</v>
      </c>
    </row>
    <row r="170" spans="1:5" ht="13.5" customHeight="1" x14ac:dyDescent="0.3">
      <c r="A170" s="6" t="s">
        <v>38</v>
      </c>
      <c r="B170" s="39" t="s">
        <v>60</v>
      </c>
      <c r="C170" s="24"/>
      <c r="D170" s="31">
        <v>45924</v>
      </c>
      <c r="E170" s="35">
        <v>0.45833333333333331</v>
      </c>
    </row>
    <row r="171" spans="1:5" ht="13.5" customHeight="1" x14ac:dyDescent="0.3">
      <c r="A171" s="6" t="s">
        <v>38</v>
      </c>
      <c r="B171" s="39" t="s">
        <v>60</v>
      </c>
      <c r="C171" s="24"/>
      <c r="D171" s="31">
        <v>45924</v>
      </c>
      <c r="E171" s="35">
        <v>0.5</v>
      </c>
    </row>
    <row r="172" spans="1:5" ht="13.5" customHeight="1" x14ac:dyDescent="0.3">
      <c r="A172" s="6" t="s">
        <v>38</v>
      </c>
      <c r="B172" s="39" t="s">
        <v>60</v>
      </c>
      <c r="C172" s="24"/>
      <c r="D172" s="31">
        <v>45924</v>
      </c>
      <c r="E172" s="35">
        <v>0.54166666666666663</v>
      </c>
    </row>
    <row r="173" spans="1:5" ht="13.5" customHeight="1" x14ac:dyDescent="0.3">
      <c r="A173" s="6" t="s">
        <v>36</v>
      </c>
      <c r="B173" s="40" t="s">
        <v>64</v>
      </c>
      <c r="C173" s="24"/>
      <c r="D173" s="31">
        <v>45925</v>
      </c>
      <c r="E173" s="35">
        <v>0.41666666666666669</v>
      </c>
    </row>
    <row r="174" spans="1:5" ht="13.5" customHeight="1" x14ac:dyDescent="0.3">
      <c r="A174" s="6" t="s">
        <v>36</v>
      </c>
      <c r="B174" s="39" t="s">
        <v>60</v>
      </c>
      <c r="C174" s="24"/>
      <c r="D174" s="31">
        <v>45925</v>
      </c>
      <c r="E174" s="35">
        <v>0.45833333333333331</v>
      </c>
    </row>
    <row r="175" spans="1:5" ht="13.5" customHeight="1" x14ac:dyDescent="0.3">
      <c r="A175" s="6" t="s">
        <v>40</v>
      </c>
      <c r="B175" s="42" t="s">
        <v>66</v>
      </c>
      <c r="C175" s="24"/>
      <c r="D175" s="31">
        <v>45925</v>
      </c>
      <c r="E175" s="35">
        <v>0.4375</v>
      </c>
    </row>
    <row r="176" spans="1:5" ht="13.5" customHeight="1" x14ac:dyDescent="0.3">
      <c r="A176" s="6" t="s">
        <v>40</v>
      </c>
      <c r="B176" s="42" t="s">
        <v>66</v>
      </c>
      <c r="C176" s="24"/>
      <c r="D176" s="31">
        <v>45925</v>
      </c>
      <c r="E176" s="35">
        <v>0.47916666666666669</v>
      </c>
    </row>
    <row r="177" spans="1:6" ht="13.5" customHeight="1" x14ac:dyDescent="0.3">
      <c r="A177" s="6" t="s">
        <v>50</v>
      </c>
      <c r="B177" s="43" t="s">
        <v>61</v>
      </c>
      <c r="C177" s="24"/>
      <c r="D177" s="31">
        <v>45925</v>
      </c>
      <c r="E177" s="35">
        <v>0.45833333333333331</v>
      </c>
    </row>
    <row r="178" spans="1:6" ht="13.5" customHeight="1" x14ac:dyDescent="0.3">
      <c r="A178" s="6" t="s">
        <v>50</v>
      </c>
      <c r="B178" s="43" t="s">
        <v>61</v>
      </c>
      <c r="C178" s="24"/>
      <c r="D178" s="31">
        <v>45925</v>
      </c>
      <c r="E178" s="35">
        <v>0.5</v>
      </c>
    </row>
    <row r="179" spans="1:6" ht="13.5" customHeight="1" x14ac:dyDescent="0.3">
      <c r="A179" s="6" t="s">
        <v>50</v>
      </c>
      <c r="B179" s="43" t="s">
        <v>61</v>
      </c>
      <c r="C179" s="24"/>
      <c r="D179" s="31">
        <v>45925</v>
      </c>
      <c r="E179" s="35">
        <v>0.54166666666666663</v>
      </c>
    </row>
    <row r="180" spans="1:6" ht="13.5" customHeight="1" x14ac:dyDescent="0.3">
      <c r="A180" s="6" t="s">
        <v>41</v>
      </c>
      <c r="B180" s="39" t="s">
        <v>60</v>
      </c>
      <c r="C180" s="24"/>
      <c r="D180" s="31">
        <v>45926</v>
      </c>
      <c r="E180" s="35">
        <v>0.4375</v>
      </c>
    </row>
    <row r="181" spans="1:6" ht="13.5" customHeight="1" x14ac:dyDescent="0.3">
      <c r="A181" s="6" t="s">
        <v>41</v>
      </c>
      <c r="B181" s="39" t="s">
        <v>60</v>
      </c>
      <c r="C181" s="24"/>
      <c r="D181" s="31">
        <v>45926</v>
      </c>
      <c r="E181" s="35">
        <v>0.47916666666666669</v>
      </c>
    </row>
    <row r="182" spans="1:6" ht="13.5" customHeight="1" x14ac:dyDescent="0.3">
      <c r="A182" s="6" t="s">
        <v>41</v>
      </c>
      <c r="B182" s="39" t="s">
        <v>60</v>
      </c>
      <c r="C182" s="24"/>
      <c r="D182" s="31">
        <v>45926</v>
      </c>
      <c r="E182" s="35">
        <v>0.52083333333333337</v>
      </c>
    </row>
    <row r="183" spans="1:6" ht="13.5" customHeight="1" x14ac:dyDescent="0.3">
      <c r="A183" s="14" t="s">
        <v>71</v>
      </c>
      <c r="B183" s="39" t="s">
        <v>60</v>
      </c>
      <c r="C183" s="24" t="s">
        <v>74</v>
      </c>
      <c r="D183" s="48">
        <v>45926</v>
      </c>
      <c r="E183" s="50">
        <v>0.41666666666666669</v>
      </c>
    </row>
    <row r="184" spans="1:6" ht="13.5" customHeight="1" x14ac:dyDescent="0.3">
      <c r="A184" s="14" t="s">
        <v>71</v>
      </c>
      <c r="B184" s="39" t="s">
        <v>60</v>
      </c>
      <c r="C184" s="24" t="s">
        <v>74</v>
      </c>
      <c r="D184" s="48">
        <v>45926</v>
      </c>
      <c r="E184" s="50">
        <v>0.45833333333333331</v>
      </c>
    </row>
    <row r="185" spans="1:6" ht="13.5" customHeight="1" x14ac:dyDescent="0.3">
      <c r="A185" s="14" t="s">
        <v>71</v>
      </c>
      <c r="B185" s="39" t="s">
        <v>60</v>
      </c>
      <c r="C185" s="24" t="s">
        <v>74</v>
      </c>
      <c r="D185" s="48">
        <v>45926</v>
      </c>
      <c r="E185" s="50">
        <v>0.5</v>
      </c>
    </row>
    <row r="186" spans="1:6" ht="13.5" customHeight="1" x14ac:dyDescent="0.3">
      <c r="A186" s="6" t="s">
        <v>54</v>
      </c>
      <c r="B186" s="41" t="s">
        <v>65</v>
      </c>
      <c r="C186" s="24"/>
      <c r="D186" s="31">
        <v>45926</v>
      </c>
      <c r="E186" s="35">
        <v>0.4375</v>
      </c>
    </row>
    <row r="187" spans="1:6" ht="13.5" customHeight="1" x14ac:dyDescent="0.3">
      <c r="A187" s="6" t="s">
        <v>54</v>
      </c>
      <c r="B187" s="41" t="s">
        <v>65</v>
      </c>
      <c r="C187" s="24"/>
      <c r="D187" s="31">
        <v>45926</v>
      </c>
      <c r="E187" s="35">
        <v>0.47916666666666669</v>
      </c>
    </row>
    <row r="188" spans="1:6" ht="13.5" customHeight="1" x14ac:dyDescent="0.3">
      <c r="A188" s="6" t="s">
        <v>32</v>
      </c>
      <c r="B188" s="38" t="s">
        <v>62</v>
      </c>
      <c r="C188" s="65" t="s">
        <v>58</v>
      </c>
      <c r="D188" s="31">
        <v>45929</v>
      </c>
      <c r="E188" s="35">
        <v>0.41666666666666669</v>
      </c>
    </row>
    <row r="189" spans="1:6" ht="13.5" customHeight="1" x14ac:dyDescent="0.3">
      <c r="A189" s="6" t="s">
        <v>32</v>
      </c>
      <c r="B189" s="38" t="s">
        <v>62</v>
      </c>
      <c r="C189" s="24" t="s">
        <v>20</v>
      </c>
      <c r="D189" s="31">
        <v>45929</v>
      </c>
      <c r="E189" s="35">
        <v>0.45833333333333331</v>
      </c>
    </row>
    <row r="190" spans="1:6" ht="13.5" customHeight="1" x14ac:dyDescent="0.3">
      <c r="A190" s="6" t="s">
        <v>32</v>
      </c>
      <c r="B190" s="38" t="s">
        <v>62</v>
      </c>
      <c r="C190" s="24" t="s">
        <v>20</v>
      </c>
      <c r="D190" s="31">
        <v>45929</v>
      </c>
      <c r="E190" s="35">
        <v>0.5</v>
      </c>
    </row>
    <row r="191" spans="1:6" ht="13.5" customHeight="1" x14ac:dyDescent="0.3">
      <c r="A191" s="53" t="s">
        <v>37</v>
      </c>
      <c r="B191" s="39" t="s">
        <v>60</v>
      </c>
      <c r="C191" s="24" t="s">
        <v>20</v>
      </c>
      <c r="D191" s="31">
        <v>45929</v>
      </c>
      <c r="E191" s="50">
        <v>0.41666666666666669</v>
      </c>
    </row>
    <row r="192" spans="1:6" ht="13.5" customHeight="1" x14ac:dyDescent="0.3">
      <c r="A192" s="53" t="s">
        <v>89</v>
      </c>
      <c r="B192" s="39" t="s">
        <v>60</v>
      </c>
      <c r="C192" s="24" t="s">
        <v>20</v>
      </c>
      <c r="D192" s="31">
        <v>45929</v>
      </c>
      <c r="E192" s="58" t="s">
        <v>75</v>
      </c>
      <c r="F192" s="1" t="s">
        <v>109</v>
      </c>
    </row>
    <row r="193" spans="1:5" ht="13.5" customHeight="1" x14ac:dyDescent="0.3">
      <c r="A193" s="6" t="s">
        <v>51</v>
      </c>
      <c r="B193" s="43" t="s">
        <v>61</v>
      </c>
      <c r="C193" s="24"/>
      <c r="D193" s="48">
        <v>45930</v>
      </c>
      <c r="E193" s="35">
        <v>0.41666666666666669</v>
      </c>
    </row>
    <row r="194" spans="1:5" ht="13.5" customHeight="1" x14ac:dyDescent="0.3">
      <c r="A194" s="6" t="s">
        <v>51</v>
      </c>
      <c r="B194" s="43" t="s">
        <v>61</v>
      </c>
      <c r="C194" s="24"/>
      <c r="D194" s="31">
        <v>45930</v>
      </c>
      <c r="E194" s="35">
        <v>0.45833333333333331</v>
      </c>
    </row>
    <row r="195" spans="1:5" ht="13.5" customHeight="1" x14ac:dyDescent="0.3">
      <c r="A195" s="6" t="s">
        <v>51</v>
      </c>
      <c r="B195" s="43" t="s">
        <v>61</v>
      </c>
      <c r="C195" s="24"/>
      <c r="D195" s="31">
        <v>45930</v>
      </c>
      <c r="E195" s="35">
        <v>0.5</v>
      </c>
    </row>
    <row r="196" spans="1:5" ht="13.5" customHeight="1" x14ac:dyDescent="0.3">
      <c r="A196" s="6" t="s">
        <v>39</v>
      </c>
      <c r="B196" s="40" t="s">
        <v>64</v>
      </c>
      <c r="C196" s="24" t="s">
        <v>74</v>
      </c>
      <c r="D196" s="31">
        <v>45930</v>
      </c>
      <c r="E196" s="35">
        <v>0.41666666666666669</v>
      </c>
    </row>
    <row r="197" spans="1:5" ht="13.5" customHeight="1" x14ac:dyDescent="0.3">
      <c r="A197" s="6" t="s">
        <v>39</v>
      </c>
      <c r="B197" s="39" t="s">
        <v>60</v>
      </c>
      <c r="C197" s="24" t="s">
        <v>74</v>
      </c>
      <c r="D197" s="31">
        <v>45930</v>
      </c>
      <c r="E197" s="35">
        <v>0.45833333333333331</v>
      </c>
    </row>
    <row r="198" spans="1:5" ht="13.5" customHeight="1" x14ac:dyDescent="0.3">
      <c r="A198" s="6" t="s">
        <v>39</v>
      </c>
      <c r="B198" s="39" t="s">
        <v>60</v>
      </c>
      <c r="C198" s="24" t="s">
        <v>74</v>
      </c>
      <c r="D198" s="31">
        <v>45930</v>
      </c>
      <c r="E198" s="35">
        <v>0.5</v>
      </c>
    </row>
    <row r="199" spans="1:5" ht="13.5" customHeight="1" x14ac:dyDescent="0.3">
      <c r="A199" s="29" t="s">
        <v>68</v>
      </c>
      <c r="B199" s="47" t="s">
        <v>60</v>
      </c>
      <c r="C199" s="27"/>
      <c r="D199" s="32">
        <v>45931</v>
      </c>
      <c r="E199" s="36">
        <v>0.41666666666666669</v>
      </c>
    </row>
    <row r="200" spans="1:5" ht="13.5" customHeight="1" x14ac:dyDescent="0.3">
      <c r="A200" s="6" t="s">
        <v>68</v>
      </c>
      <c r="B200" s="39" t="s">
        <v>60</v>
      </c>
      <c r="C200" s="24"/>
      <c r="D200" s="31">
        <v>45931</v>
      </c>
      <c r="E200" s="35">
        <v>0.45833333333333331</v>
      </c>
    </row>
    <row r="201" spans="1:5" ht="13.5" customHeight="1" x14ac:dyDescent="0.3">
      <c r="A201" s="6" t="s">
        <v>38</v>
      </c>
      <c r="B201" s="39" t="s">
        <v>60</v>
      </c>
      <c r="C201" s="24"/>
      <c r="D201" s="31">
        <v>45931</v>
      </c>
      <c r="E201" s="35">
        <v>0.45833333333333331</v>
      </c>
    </row>
    <row r="202" spans="1:5" ht="13.5" customHeight="1" x14ac:dyDescent="0.3">
      <c r="A202" s="6" t="s">
        <v>38</v>
      </c>
      <c r="B202" s="39" t="s">
        <v>60</v>
      </c>
      <c r="C202" s="24"/>
      <c r="D202" s="31">
        <v>45931</v>
      </c>
      <c r="E202" s="35">
        <v>0.5</v>
      </c>
    </row>
    <row r="203" spans="1:5" ht="13.5" customHeight="1" x14ac:dyDescent="0.3">
      <c r="A203" s="6" t="s">
        <v>38</v>
      </c>
      <c r="B203" s="39" t="s">
        <v>60</v>
      </c>
      <c r="C203" s="24"/>
      <c r="D203" s="31">
        <v>45931</v>
      </c>
      <c r="E203" s="35">
        <v>0.54166666666666663</v>
      </c>
    </row>
    <row r="204" spans="1:5" ht="13.5" customHeight="1" x14ac:dyDescent="0.3">
      <c r="A204" s="6" t="s">
        <v>36</v>
      </c>
      <c r="B204" s="49" t="s">
        <v>84</v>
      </c>
      <c r="C204" s="24"/>
      <c r="D204" s="31">
        <v>45932</v>
      </c>
      <c r="E204" s="35">
        <v>0.41666666666666669</v>
      </c>
    </row>
    <row r="205" spans="1:5" ht="13.5" customHeight="1" x14ac:dyDescent="0.3">
      <c r="A205" s="6" t="s">
        <v>36</v>
      </c>
      <c r="B205" s="39" t="s">
        <v>60</v>
      </c>
      <c r="C205" s="24"/>
      <c r="D205" s="31">
        <v>45932</v>
      </c>
      <c r="E205" s="35">
        <v>0.45833333333333331</v>
      </c>
    </row>
    <row r="206" spans="1:5" ht="13.5" customHeight="1" x14ac:dyDescent="0.3">
      <c r="A206" s="6" t="s">
        <v>40</v>
      </c>
      <c r="B206" s="49" t="s">
        <v>84</v>
      </c>
      <c r="C206" s="24"/>
      <c r="D206" s="31">
        <v>45932</v>
      </c>
      <c r="E206" s="35">
        <v>0.4375</v>
      </c>
    </row>
    <row r="207" spans="1:5" ht="13.5" customHeight="1" x14ac:dyDescent="0.3">
      <c r="A207" s="6" t="s">
        <v>40</v>
      </c>
      <c r="B207" s="42" t="s">
        <v>66</v>
      </c>
      <c r="C207" s="24"/>
      <c r="D207" s="31">
        <v>45932</v>
      </c>
      <c r="E207" s="35">
        <v>0.47916666666666669</v>
      </c>
    </row>
    <row r="208" spans="1:5" ht="13.5" customHeight="1" x14ac:dyDescent="0.3">
      <c r="A208" s="6" t="s">
        <v>50</v>
      </c>
      <c r="B208" s="43" t="s">
        <v>61</v>
      </c>
      <c r="C208" s="24"/>
      <c r="D208" s="31">
        <v>45932</v>
      </c>
      <c r="E208" s="35">
        <v>0.45833333333333331</v>
      </c>
    </row>
    <row r="209" spans="1:6" ht="13.5" customHeight="1" x14ac:dyDescent="0.3">
      <c r="A209" s="6" t="s">
        <v>50</v>
      </c>
      <c r="B209" s="43" t="s">
        <v>61</v>
      </c>
      <c r="C209" s="24"/>
      <c r="D209" s="31">
        <v>45932</v>
      </c>
      <c r="E209" s="35">
        <v>0.5</v>
      </c>
    </row>
    <row r="210" spans="1:6" ht="13.5" customHeight="1" x14ac:dyDescent="0.3">
      <c r="A210" s="6" t="s">
        <v>50</v>
      </c>
      <c r="B210" s="43" t="s">
        <v>61</v>
      </c>
      <c r="C210" s="24"/>
      <c r="D210" s="31">
        <v>45932</v>
      </c>
      <c r="E210" s="35">
        <v>0.54166666666666663</v>
      </c>
    </row>
    <row r="211" spans="1:6" ht="13.5" customHeight="1" x14ac:dyDescent="0.3">
      <c r="A211" s="6" t="s">
        <v>41</v>
      </c>
      <c r="B211" s="39" t="s">
        <v>60</v>
      </c>
      <c r="C211" s="24"/>
      <c r="D211" s="31">
        <v>45940</v>
      </c>
      <c r="E211" s="35">
        <v>0.4375</v>
      </c>
    </row>
    <row r="212" spans="1:6" ht="13.5" customHeight="1" x14ac:dyDescent="0.3">
      <c r="A212" s="6" t="s">
        <v>41</v>
      </c>
      <c r="B212" s="39" t="s">
        <v>60</v>
      </c>
      <c r="C212" s="24"/>
      <c r="D212" s="31">
        <v>45940</v>
      </c>
      <c r="E212" s="35">
        <v>0.47916666666666669</v>
      </c>
    </row>
    <row r="213" spans="1:6" ht="13.5" customHeight="1" x14ac:dyDescent="0.3">
      <c r="A213" s="6" t="s">
        <v>41</v>
      </c>
      <c r="B213" s="39" t="s">
        <v>60</v>
      </c>
      <c r="C213" s="24"/>
      <c r="D213" s="31">
        <v>45940</v>
      </c>
      <c r="E213" s="35">
        <v>0.52083333333333337</v>
      </c>
    </row>
    <row r="214" spans="1:6" ht="13.5" customHeight="1" x14ac:dyDescent="0.3">
      <c r="A214" s="6" t="s">
        <v>42</v>
      </c>
      <c r="B214" s="39" t="s">
        <v>60</v>
      </c>
      <c r="C214" s="24" t="s">
        <v>73</v>
      </c>
      <c r="D214" s="31">
        <v>45940</v>
      </c>
      <c r="E214" s="35">
        <v>0.41666666666666669</v>
      </c>
    </row>
    <row r="215" spans="1:6" ht="13.5" customHeight="1" x14ac:dyDescent="0.3">
      <c r="A215" s="6" t="s">
        <v>42</v>
      </c>
      <c r="B215" s="39" t="s">
        <v>60</v>
      </c>
      <c r="C215" s="24" t="s">
        <v>73</v>
      </c>
      <c r="D215" s="31">
        <v>45940</v>
      </c>
      <c r="E215" s="35">
        <v>0.45833333333333331</v>
      </c>
    </row>
    <row r="216" spans="1:6" ht="13.5" customHeight="1" x14ac:dyDescent="0.3">
      <c r="A216" s="6" t="s">
        <v>42</v>
      </c>
      <c r="B216" s="39" t="s">
        <v>60</v>
      </c>
      <c r="C216" s="24" t="s">
        <v>73</v>
      </c>
      <c r="D216" s="31">
        <v>45940</v>
      </c>
      <c r="E216" s="35">
        <v>0.5</v>
      </c>
    </row>
    <row r="217" spans="1:6" ht="13.5" customHeight="1" x14ac:dyDescent="0.3">
      <c r="A217" s="6" t="s">
        <v>54</v>
      </c>
      <c r="B217" s="41" t="s">
        <v>65</v>
      </c>
      <c r="C217" s="24"/>
      <c r="D217" s="31">
        <v>45940</v>
      </c>
      <c r="E217" s="35">
        <v>0.4375</v>
      </c>
    </row>
    <row r="218" spans="1:6" ht="13.5" customHeight="1" x14ac:dyDescent="0.3">
      <c r="A218" s="6" t="s">
        <v>54</v>
      </c>
      <c r="B218" s="41" t="s">
        <v>65</v>
      </c>
      <c r="C218" s="24"/>
      <c r="D218" s="31">
        <v>45940</v>
      </c>
      <c r="E218" s="35">
        <v>0.47916666666666669</v>
      </c>
    </row>
    <row r="219" spans="1:6" ht="13.5" customHeight="1" x14ac:dyDescent="0.3">
      <c r="A219" s="6" t="s">
        <v>52</v>
      </c>
      <c r="B219" s="38" t="s">
        <v>62</v>
      </c>
      <c r="C219" s="24"/>
      <c r="D219" s="45">
        <v>45941</v>
      </c>
      <c r="E219" s="35">
        <v>0.41666666666666669</v>
      </c>
    </row>
    <row r="220" spans="1:6" ht="13.5" customHeight="1" x14ac:dyDescent="0.3">
      <c r="A220" s="6" t="s">
        <v>52</v>
      </c>
      <c r="B220" s="38" t="s">
        <v>62</v>
      </c>
      <c r="C220" s="24"/>
      <c r="D220" s="45">
        <v>45941</v>
      </c>
      <c r="E220" s="35">
        <v>0.45833333333333331</v>
      </c>
    </row>
    <row r="221" spans="1:6" ht="13.5" customHeight="1" x14ac:dyDescent="0.3">
      <c r="A221" s="6" t="s">
        <v>41</v>
      </c>
      <c r="B221" s="39" t="s">
        <v>60</v>
      </c>
      <c r="C221" s="24"/>
      <c r="D221" s="45">
        <v>45941</v>
      </c>
      <c r="E221" s="35">
        <v>0.4375</v>
      </c>
    </row>
    <row r="222" spans="1:6" ht="13.5" customHeight="1" x14ac:dyDescent="0.3">
      <c r="A222" s="6" t="s">
        <v>41</v>
      </c>
      <c r="B222" s="39" t="s">
        <v>60</v>
      </c>
      <c r="C222" s="24"/>
      <c r="D222" s="45">
        <v>45941</v>
      </c>
      <c r="E222" s="35">
        <v>0.47916666666666669</v>
      </c>
    </row>
    <row r="223" spans="1:6" ht="13.5" customHeight="1" x14ac:dyDescent="0.3">
      <c r="A223" s="6" t="s">
        <v>41</v>
      </c>
      <c r="B223" s="39" t="s">
        <v>60</v>
      </c>
      <c r="C223" s="24"/>
      <c r="D223" s="45">
        <v>45941</v>
      </c>
      <c r="E223" s="35">
        <v>0.52083333333333337</v>
      </c>
    </row>
    <row r="224" spans="1:6" ht="13.5" customHeight="1" x14ac:dyDescent="0.3">
      <c r="A224" s="6" t="s">
        <v>91</v>
      </c>
      <c r="B224" s="38" t="s">
        <v>62</v>
      </c>
      <c r="C224" s="24" t="s">
        <v>20</v>
      </c>
      <c r="D224" s="31">
        <v>45943</v>
      </c>
      <c r="E224" s="58" t="s">
        <v>85</v>
      </c>
      <c r="F224" s="1" t="s">
        <v>94</v>
      </c>
    </row>
    <row r="225" spans="1:6" ht="13.5" customHeight="1" x14ac:dyDescent="0.3">
      <c r="A225" s="6" t="s">
        <v>91</v>
      </c>
      <c r="B225" s="38" t="s">
        <v>62</v>
      </c>
      <c r="C225" s="24" t="s">
        <v>20</v>
      </c>
      <c r="D225" s="31">
        <v>45943</v>
      </c>
      <c r="E225" s="58" t="s">
        <v>85</v>
      </c>
      <c r="F225" s="1" t="s">
        <v>94</v>
      </c>
    </row>
    <row r="226" spans="1:6" ht="13.5" customHeight="1" x14ac:dyDescent="0.3">
      <c r="A226" s="6" t="s">
        <v>32</v>
      </c>
      <c r="B226" s="38" t="s">
        <v>62</v>
      </c>
      <c r="C226" s="24" t="s">
        <v>20</v>
      </c>
      <c r="D226" s="31">
        <v>45943</v>
      </c>
      <c r="E226" s="35">
        <v>0.5</v>
      </c>
    </row>
    <row r="227" spans="1:6" ht="13.5" customHeight="1" x14ac:dyDescent="0.3">
      <c r="A227" s="6" t="s">
        <v>37</v>
      </c>
      <c r="B227" s="39" t="s">
        <v>60</v>
      </c>
      <c r="C227" s="65" t="s">
        <v>58</v>
      </c>
      <c r="D227" s="48">
        <v>45947</v>
      </c>
      <c r="E227" s="35">
        <v>0.4375</v>
      </c>
    </row>
    <row r="228" spans="1:6" ht="13.5" customHeight="1" x14ac:dyDescent="0.3">
      <c r="A228" s="6" t="s">
        <v>89</v>
      </c>
      <c r="B228" s="39" t="s">
        <v>60</v>
      </c>
      <c r="C228" s="65" t="s">
        <v>58</v>
      </c>
      <c r="D228" s="48">
        <v>45947</v>
      </c>
      <c r="E228" s="58" t="s">
        <v>75</v>
      </c>
      <c r="F228" s="1" t="s">
        <v>95</v>
      </c>
    </row>
    <row r="229" spans="1:6" ht="13.5" customHeight="1" x14ac:dyDescent="0.3">
      <c r="A229" s="6" t="s">
        <v>37</v>
      </c>
      <c r="B229" s="59" t="s">
        <v>86</v>
      </c>
      <c r="C229" s="65" t="s">
        <v>58</v>
      </c>
      <c r="D229" s="48">
        <v>45947</v>
      </c>
      <c r="E229" s="35">
        <v>0.52083333333333337</v>
      </c>
    </row>
    <row r="230" spans="1:6" ht="13.5" customHeight="1" x14ac:dyDescent="0.3">
      <c r="A230" s="6" t="s">
        <v>34</v>
      </c>
      <c r="B230" s="39" t="s">
        <v>60</v>
      </c>
      <c r="C230" s="24" t="s">
        <v>20</v>
      </c>
      <c r="D230" s="31">
        <v>45943</v>
      </c>
      <c r="E230" s="35">
        <v>0.54166666666666663</v>
      </c>
    </row>
    <row r="231" spans="1:6" ht="13.5" customHeight="1" x14ac:dyDescent="0.3">
      <c r="A231" s="6" t="s">
        <v>34</v>
      </c>
      <c r="B231" s="39" t="s">
        <v>60</v>
      </c>
      <c r="C231" s="24" t="s">
        <v>20</v>
      </c>
      <c r="D231" s="31">
        <v>45943</v>
      </c>
      <c r="E231" s="35">
        <v>0.58333333333333337</v>
      </c>
    </row>
    <row r="232" spans="1:6" ht="13.5" customHeight="1" x14ac:dyDescent="0.3">
      <c r="A232" s="6" t="s">
        <v>34</v>
      </c>
      <c r="B232" s="39" t="s">
        <v>60</v>
      </c>
      <c r="C232" s="24" t="s">
        <v>20</v>
      </c>
      <c r="D232" s="31">
        <v>45943</v>
      </c>
      <c r="E232" s="35">
        <v>0.625</v>
      </c>
    </row>
    <row r="233" spans="1:6" ht="13.5" customHeight="1" x14ac:dyDescent="0.3">
      <c r="A233" s="6" t="s">
        <v>51</v>
      </c>
      <c r="B233" s="43" t="s">
        <v>61</v>
      </c>
      <c r="C233" s="24"/>
      <c r="D233" s="31">
        <v>45944</v>
      </c>
      <c r="E233" s="35">
        <v>0.41666666666666669</v>
      </c>
    </row>
    <row r="234" spans="1:6" ht="13.5" customHeight="1" x14ac:dyDescent="0.3">
      <c r="A234" s="6" t="s">
        <v>51</v>
      </c>
      <c r="B234" s="43" t="s">
        <v>61</v>
      </c>
      <c r="C234" s="24"/>
      <c r="D234" s="31">
        <v>45944</v>
      </c>
      <c r="E234" s="35">
        <v>0.45833333333333331</v>
      </c>
    </row>
    <row r="235" spans="1:6" ht="13.5" customHeight="1" x14ac:dyDescent="0.3">
      <c r="A235" s="6" t="s">
        <v>51</v>
      </c>
      <c r="B235" s="43" t="s">
        <v>61</v>
      </c>
      <c r="C235" s="24"/>
      <c r="D235" s="31">
        <v>45944</v>
      </c>
      <c r="E235" s="35">
        <v>0.5</v>
      </c>
    </row>
    <row r="236" spans="1:6" ht="13.5" customHeight="1" x14ac:dyDescent="0.3">
      <c r="A236" s="6" t="s">
        <v>39</v>
      </c>
      <c r="B236" s="40" t="s">
        <v>64</v>
      </c>
      <c r="C236" s="24" t="s">
        <v>74</v>
      </c>
      <c r="D236" s="31">
        <v>45944</v>
      </c>
      <c r="E236" s="35">
        <v>0.41666666666666669</v>
      </c>
    </row>
    <row r="237" spans="1:6" ht="13.5" customHeight="1" x14ac:dyDescent="0.3">
      <c r="A237" s="6" t="s">
        <v>39</v>
      </c>
      <c r="B237" s="39" t="s">
        <v>60</v>
      </c>
      <c r="C237" s="24" t="s">
        <v>74</v>
      </c>
      <c r="D237" s="31">
        <v>45944</v>
      </c>
      <c r="E237" s="35">
        <v>0.45833333333333331</v>
      </c>
    </row>
    <row r="238" spans="1:6" ht="13.5" customHeight="1" x14ac:dyDescent="0.3">
      <c r="A238" s="6" t="s">
        <v>39</v>
      </c>
      <c r="B238" s="39" t="s">
        <v>60</v>
      </c>
      <c r="C238" s="24" t="s">
        <v>74</v>
      </c>
      <c r="D238" s="31">
        <v>45944</v>
      </c>
      <c r="E238" s="35">
        <v>0.5</v>
      </c>
    </row>
    <row r="239" spans="1:6" ht="13.5" customHeight="1" x14ac:dyDescent="0.3">
      <c r="A239" s="6" t="s">
        <v>35</v>
      </c>
      <c r="B239" s="39" t="s">
        <v>60</v>
      </c>
      <c r="C239" s="24"/>
      <c r="D239" s="31">
        <v>45944</v>
      </c>
      <c r="E239" s="35">
        <v>0.47916666666666669</v>
      </c>
    </row>
    <row r="240" spans="1:6" ht="13.5" customHeight="1" x14ac:dyDescent="0.3">
      <c r="A240" s="6" t="s">
        <v>35</v>
      </c>
      <c r="B240" s="39" t="s">
        <v>60</v>
      </c>
      <c r="C240" s="24"/>
      <c r="D240" s="31">
        <v>45944</v>
      </c>
      <c r="E240" s="35">
        <v>0.52083333333333337</v>
      </c>
    </row>
    <row r="241" spans="1:6" ht="13.5" customHeight="1" x14ac:dyDescent="0.3">
      <c r="A241" s="6" t="s">
        <v>35</v>
      </c>
      <c r="B241" s="39" t="s">
        <v>60</v>
      </c>
      <c r="C241" s="24"/>
      <c r="D241" s="31">
        <v>45944</v>
      </c>
      <c r="E241" s="35">
        <v>0.5625</v>
      </c>
    </row>
    <row r="242" spans="1:6" ht="13.5" customHeight="1" x14ac:dyDescent="0.3">
      <c r="A242" s="6" t="s">
        <v>68</v>
      </c>
      <c r="B242" s="39" t="s">
        <v>60</v>
      </c>
      <c r="C242" s="24"/>
      <c r="D242" s="31">
        <v>45945</v>
      </c>
      <c r="E242" s="35">
        <v>0.41666666666666669</v>
      </c>
    </row>
    <row r="243" spans="1:6" ht="13.5" customHeight="1" x14ac:dyDescent="0.3">
      <c r="A243" s="6" t="s">
        <v>68</v>
      </c>
      <c r="B243" s="39" t="s">
        <v>60</v>
      </c>
      <c r="C243" s="24"/>
      <c r="D243" s="31">
        <v>45945</v>
      </c>
      <c r="E243" s="35">
        <v>0.45833333333333331</v>
      </c>
    </row>
    <row r="244" spans="1:6" ht="13.5" customHeight="1" x14ac:dyDescent="0.3">
      <c r="A244" s="6" t="s">
        <v>38</v>
      </c>
      <c r="B244" s="59" t="s">
        <v>61</v>
      </c>
      <c r="C244" s="24" t="s">
        <v>20</v>
      </c>
      <c r="D244" s="31">
        <v>45945</v>
      </c>
      <c r="E244" s="35">
        <v>0.45833333333333331</v>
      </c>
    </row>
    <row r="245" spans="1:6" ht="13.5" customHeight="1" x14ac:dyDescent="0.3">
      <c r="A245" s="6" t="s">
        <v>38</v>
      </c>
      <c r="B245" s="39" t="s">
        <v>60</v>
      </c>
      <c r="C245" s="24" t="s">
        <v>20</v>
      </c>
      <c r="D245" s="31">
        <v>45945</v>
      </c>
      <c r="E245" s="35">
        <v>0.5</v>
      </c>
    </row>
    <row r="246" spans="1:6" ht="13.5" customHeight="1" x14ac:dyDescent="0.3">
      <c r="A246" s="6" t="s">
        <v>38</v>
      </c>
      <c r="B246" s="39" t="s">
        <v>60</v>
      </c>
      <c r="C246" s="24" t="s">
        <v>20</v>
      </c>
      <c r="D246" s="31">
        <v>45945</v>
      </c>
      <c r="E246" s="35">
        <v>0.54166666666666663</v>
      </c>
    </row>
    <row r="247" spans="1:6" ht="13.5" customHeight="1" x14ac:dyDescent="0.3">
      <c r="A247" s="6" t="s">
        <v>36</v>
      </c>
      <c r="B247" s="40" t="s">
        <v>64</v>
      </c>
      <c r="C247" s="24"/>
      <c r="D247" s="48">
        <v>45950</v>
      </c>
      <c r="E247" s="35">
        <v>0.41666666666666669</v>
      </c>
    </row>
    <row r="248" spans="1:6" ht="13.5" customHeight="1" x14ac:dyDescent="0.3">
      <c r="A248" s="6" t="s">
        <v>36</v>
      </c>
      <c r="B248" s="39" t="s">
        <v>60</v>
      </c>
      <c r="C248" s="24"/>
      <c r="D248" s="48">
        <v>45950</v>
      </c>
      <c r="E248" s="35">
        <v>0.45833333333333331</v>
      </c>
    </row>
    <row r="249" spans="1:6" ht="13.5" customHeight="1" x14ac:dyDescent="0.3">
      <c r="A249" s="6" t="s">
        <v>40</v>
      </c>
      <c r="B249" s="42" t="s">
        <v>66</v>
      </c>
      <c r="C249" s="24"/>
      <c r="D249" s="31">
        <v>45946</v>
      </c>
      <c r="E249" s="35">
        <v>0.4375</v>
      </c>
    </row>
    <row r="250" spans="1:6" ht="13.5" customHeight="1" x14ac:dyDescent="0.3">
      <c r="A250" s="6" t="s">
        <v>40</v>
      </c>
      <c r="B250" s="42" t="s">
        <v>66</v>
      </c>
      <c r="C250" s="24"/>
      <c r="D250" s="31">
        <v>45946</v>
      </c>
      <c r="E250" s="35">
        <v>0.47916666666666669</v>
      </c>
    </row>
    <row r="251" spans="1:6" ht="13.5" customHeight="1" x14ac:dyDescent="0.3">
      <c r="A251" s="6" t="s">
        <v>50</v>
      </c>
      <c r="B251" s="43" t="s">
        <v>61</v>
      </c>
      <c r="C251" s="24"/>
      <c r="D251" s="31">
        <v>45946</v>
      </c>
      <c r="E251" s="35">
        <v>0.45833333333333331</v>
      </c>
    </row>
    <row r="252" spans="1:6" ht="13.5" customHeight="1" x14ac:dyDescent="0.3">
      <c r="A252" s="6" t="s">
        <v>50</v>
      </c>
      <c r="B252" s="43" t="s">
        <v>61</v>
      </c>
      <c r="C252" s="24"/>
      <c r="D252" s="31">
        <v>45946</v>
      </c>
      <c r="E252" s="35">
        <v>0.5</v>
      </c>
    </row>
    <row r="253" spans="1:6" ht="13.5" customHeight="1" x14ac:dyDescent="0.3">
      <c r="A253" s="6" t="s">
        <v>50</v>
      </c>
      <c r="B253" s="43" t="s">
        <v>61</v>
      </c>
      <c r="C253" s="24"/>
      <c r="D253" s="31">
        <v>45946</v>
      </c>
      <c r="E253" s="35">
        <v>0.54166666666666663</v>
      </c>
    </row>
    <row r="254" spans="1:6" ht="13.5" customHeight="1" x14ac:dyDescent="0.3">
      <c r="A254" s="6" t="s">
        <v>41</v>
      </c>
      <c r="B254" s="39" t="s">
        <v>60</v>
      </c>
      <c r="C254" s="24"/>
      <c r="D254" s="31">
        <v>45947</v>
      </c>
      <c r="E254" s="35">
        <v>0.4375</v>
      </c>
    </row>
    <row r="255" spans="1:6" ht="13.5" customHeight="1" x14ac:dyDescent="0.3">
      <c r="A255" s="6" t="s">
        <v>41</v>
      </c>
      <c r="B255" s="39" t="s">
        <v>60</v>
      </c>
      <c r="C255" s="24"/>
      <c r="D255" s="31">
        <v>45947</v>
      </c>
      <c r="E255" s="35">
        <v>0.47916666666666669</v>
      </c>
    </row>
    <row r="256" spans="1:6" ht="13.5" customHeight="1" x14ac:dyDescent="0.3">
      <c r="A256" s="6" t="s">
        <v>92</v>
      </c>
      <c r="B256" s="39" t="s">
        <v>60</v>
      </c>
      <c r="C256" s="24"/>
      <c r="D256" s="31">
        <v>45947</v>
      </c>
      <c r="E256" s="58" t="s">
        <v>75</v>
      </c>
      <c r="F256" s="1" t="s">
        <v>96</v>
      </c>
    </row>
    <row r="257" spans="1:6" ht="13.5" customHeight="1" x14ac:dyDescent="0.3">
      <c r="A257" s="6" t="s">
        <v>42</v>
      </c>
      <c r="B257" s="39" t="s">
        <v>60</v>
      </c>
      <c r="C257" s="24" t="s">
        <v>73</v>
      </c>
      <c r="D257" s="31">
        <v>45947</v>
      </c>
      <c r="E257" s="35">
        <v>0.41666666666666669</v>
      </c>
    </row>
    <row r="258" spans="1:6" ht="13.5" customHeight="1" x14ac:dyDescent="0.3">
      <c r="A258" s="6" t="s">
        <v>93</v>
      </c>
      <c r="B258" s="39" t="s">
        <v>60</v>
      </c>
      <c r="C258" s="24" t="s">
        <v>73</v>
      </c>
      <c r="D258" s="31">
        <v>45947</v>
      </c>
      <c r="E258" s="58" t="s">
        <v>75</v>
      </c>
    </row>
    <row r="259" spans="1:6" ht="13.5" customHeight="1" x14ac:dyDescent="0.3">
      <c r="A259" s="6" t="s">
        <v>12</v>
      </c>
      <c r="B259" s="39" t="s">
        <v>60</v>
      </c>
      <c r="C259" s="24" t="s">
        <v>73</v>
      </c>
      <c r="D259" s="31">
        <v>45947</v>
      </c>
      <c r="E259" s="35">
        <v>0.5</v>
      </c>
    </row>
    <row r="260" spans="1:6" ht="13.5" customHeight="1" x14ac:dyDescent="0.3">
      <c r="A260" s="6" t="s">
        <v>37</v>
      </c>
      <c r="B260" s="39" t="s">
        <v>60</v>
      </c>
      <c r="C260" s="24" t="s">
        <v>20</v>
      </c>
      <c r="D260" s="31">
        <v>45950</v>
      </c>
      <c r="E260" s="35">
        <v>0.4375</v>
      </c>
    </row>
    <row r="261" spans="1:6" ht="13.5" customHeight="1" x14ac:dyDescent="0.3">
      <c r="A261" s="6" t="s">
        <v>37</v>
      </c>
      <c r="B261" s="39" t="s">
        <v>60</v>
      </c>
      <c r="C261" s="24" t="s">
        <v>20</v>
      </c>
      <c r="D261" s="31">
        <v>45950</v>
      </c>
      <c r="E261" s="35">
        <v>0.47916666666666669</v>
      </c>
    </row>
    <row r="262" spans="1:6" ht="13.5" customHeight="1" x14ac:dyDescent="0.3">
      <c r="A262" s="61" t="s">
        <v>11</v>
      </c>
      <c r="B262" s="62" t="s">
        <v>60</v>
      </c>
      <c r="C262" s="61" t="s">
        <v>87</v>
      </c>
      <c r="D262" s="63">
        <v>45957</v>
      </c>
      <c r="E262" s="64">
        <v>0.4375</v>
      </c>
      <c r="F262" s="60" t="s">
        <v>88</v>
      </c>
    </row>
    <row r="263" spans="1:6" ht="13.5" customHeight="1" x14ac:dyDescent="0.3">
      <c r="A263" s="14" t="s">
        <v>69</v>
      </c>
      <c r="B263" s="39" t="s">
        <v>70</v>
      </c>
      <c r="C263" s="24" t="s">
        <v>58</v>
      </c>
      <c r="D263" s="48">
        <v>45958</v>
      </c>
      <c r="E263" s="35">
        <v>0.41666666666666669</v>
      </c>
    </row>
    <row r="264" spans="1:6" ht="13.5" customHeight="1" x14ac:dyDescent="0.3">
      <c r="A264" s="14" t="s">
        <v>69</v>
      </c>
      <c r="B264" s="39" t="s">
        <v>70</v>
      </c>
      <c r="C264" s="24" t="s">
        <v>73</v>
      </c>
      <c r="D264" s="48">
        <v>45958</v>
      </c>
      <c r="E264" s="35">
        <v>0.45833333333333331</v>
      </c>
    </row>
    <row r="265" spans="1:6" ht="13.5" customHeight="1" x14ac:dyDescent="0.3">
      <c r="A265" s="14" t="s">
        <v>69</v>
      </c>
      <c r="B265" s="39" t="s">
        <v>60</v>
      </c>
      <c r="C265" s="24" t="s">
        <v>73</v>
      </c>
      <c r="D265" s="48">
        <v>45958</v>
      </c>
      <c r="E265" s="35">
        <v>0.5</v>
      </c>
    </row>
    <row r="266" spans="1:6" ht="13.5" customHeight="1" x14ac:dyDescent="0.3">
      <c r="A266" s="6" t="s">
        <v>68</v>
      </c>
      <c r="B266" s="43" t="s">
        <v>61</v>
      </c>
      <c r="C266" s="24"/>
      <c r="D266" s="31">
        <v>45959</v>
      </c>
      <c r="E266" s="35">
        <v>0.41666666666666669</v>
      </c>
    </row>
    <row r="267" spans="1:6" ht="13.5" customHeight="1" x14ac:dyDescent="0.3">
      <c r="A267" s="6" t="s">
        <v>68</v>
      </c>
      <c r="B267" s="43" t="s">
        <v>61</v>
      </c>
      <c r="C267" s="24"/>
      <c r="D267" s="31">
        <v>45959</v>
      </c>
      <c r="E267" s="35">
        <v>0.45833333333333331</v>
      </c>
    </row>
    <row r="268" spans="1:6" ht="13.5" customHeight="1" x14ac:dyDescent="0.3">
      <c r="A268" s="6" t="s">
        <v>38</v>
      </c>
      <c r="B268" s="39" t="s">
        <v>60</v>
      </c>
      <c r="C268" s="24"/>
      <c r="D268" s="31">
        <v>45959</v>
      </c>
      <c r="E268" s="35">
        <v>0.45833333333333331</v>
      </c>
    </row>
    <row r="269" spans="1:6" ht="13.5" customHeight="1" x14ac:dyDescent="0.3">
      <c r="A269" s="6" t="s">
        <v>38</v>
      </c>
      <c r="B269" s="39" t="s">
        <v>60</v>
      </c>
      <c r="C269" s="24"/>
      <c r="D269" s="31">
        <v>45959</v>
      </c>
      <c r="E269" s="35">
        <v>0.5</v>
      </c>
    </row>
    <row r="270" spans="1:6" ht="13.5" customHeight="1" x14ac:dyDescent="0.3">
      <c r="A270" s="14" t="s">
        <v>38</v>
      </c>
      <c r="B270" s="49" t="s">
        <v>60</v>
      </c>
      <c r="C270" s="14"/>
      <c r="D270" s="48">
        <v>45959</v>
      </c>
      <c r="E270" s="50">
        <v>0.54166666666666663</v>
      </c>
    </row>
    <row r="271" spans="1:6" ht="13.5" customHeight="1" x14ac:dyDescent="0.3">
      <c r="A271" s="6" t="s">
        <v>63</v>
      </c>
      <c r="B271" s="41" t="s">
        <v>65</v>
      </c>
      <c r="C271" s="24" t="s">
        <v>59</v>
      </c>
      <c r="D271" s="48">
        <v>45945</v>
      </c>
      <c r="E271" s="35">
        <v>0.625</v>
      </c>
    </row>
    <row r="272" spans="1:6" ht="13.5" customHeight="1" x14ac:dyDescent="0.3">
      <c r="A272" s="6" t="s">
        <v>63</v>
      </c>
      <c r="B272" s="41" t="s">
        <v>65</v>
      </c>
      <c r="C272" s="24" t="s">
        <v>59</v>
      </c>
      <c r="D272" s="48">
        <v>45945</v>
      </c>
      <c r="E272" s="35">
        <v>0.66666666666666663</v>
      </c>
    </row>
    <row r="273" spans="1:5" ht="13.5" customHeight="1" x14ac:dyDescent="0.3">
      <c r="A273" s="6" t="s">
        <v>36</v>
      </c>
      <c r="B273" s="40" t="s">
        <v>64</v>
      </c>
      <c r="C273" s="24"/>
      <c r="D273" s="48">
        <v>45959</v>
      </c>
      <c r="E273" s="35">
        <v>0.41666666666666669</v>
      </c>
    </row>
    <row r="274" spans="1:5" ht="13.5" customHeight="1" x14ac:dyDescent="0.3">
      <c r="A274" s="6" t="s">
        <v>36</v>
      </c>
      <c r="B274" s="39" t="s">
        <v>60</v>
      </c>
      <c r="C274" s="24"/>
      <c r="D274" s="48">
        <v>45959</v>
      </c>
      <c r="E274" s="35">
        <v>0.45833333333333331</v>
      </c>
    </row>
    <row r="275" spans="1:5" ht="13.5" customHeight="1" x14ac:dyDescent="0.3">
      <c r="A275" s="6" t="s">
        <v>40</v>
      </c>
      <c r="B275" s="42" t="s">
        <v>66</v>
      </c>
      <c r="C275" s="24"/>
      <c r="D275" s="31">
        <v>45960</v>
      </c>
      <c r="E275" s="35">
        <v>0.4375</v>
      </c>
    </row>
    <row r="276" spans="1:5" ht="13.5" customHeight="1" x14ac:dyDescent="0.3">
      <c r="A276" s="6" t="s">
        <v>40</v>
      </c>
      <c r="B276" s="42" t="s">
        <v>66</v>
      </c>
      <c r="C276" s="24"/>
      <c r="D276" s="31">
        <v>45960</v>
      </c>
      <c r="E276" s="35">
        <v>0.47916666666666669</v>
      </c>
    </row>
    <row r="277" spans="1:5" ht="13.5" customHeight="1" x14ac:dyDescent="0.3">
      <c r="A277" s="6" t="s">
        <v>50</v>
      </c>
      <c r="B277" s="43" t="s">
        <v>61</v>
      </c>
      <c r="C277" s="24"/>
      <c r="D277" s="31">
        <v>45960</v>
      </c>
      <c r="E277" s="35">
        <v>0.45833333333333331</v>
      </c>
    </row>
    <row r="278" spans="1:5" ht="13.5" customHeight="1" x14ac:dyDescent="0.3">
      <c r="A278" s="6" t="s">
        <v>50</v>
      </c>
      <c r="B278" s="43" t="s">
        <v>61</v>
      </c>
      <c r="C278" s="24"/>
      <c r="D278" s="31">
        <v>45960</v>
      </c>
      <c r="E278" s="35">
        <v>0.5</v>
      </c>
    </row>
    <row r="279" spans="1:5" ht="13.5" customHeight="1" x14ac:dyDescent="0.3">
      <c r="A279" s="6" t="s">
        <v>41</v>
      </c>
      <c r="B279" s="39" t="s">
        <v>60</v>
      </c>
      <c r="C279" s="24"/>
      <c r="D279" s="31">
        <v>45961</v>
      </c>
      <c r="E279" s="35">
        <v>0.4375</v>
      </c>
    </row>
    <row r="280" spans="1:5" ht="13.5" customHeight="1" x14ac:dyDescent="0.3">
      <c r="A280" s="6" t="s">
        <v>41</v>
      </c>
      <c r="B280" s="39" t="s">
        <v>60</v>
      </c>
      <c r="C280" s="24"/>
      <c r="D280" s="31">
        <v>45961</v>
      </c>
      <c r="E280" s="35">
        <v>0.47916666666666669</v>
      </c>
    </row>
    <row r="281" spans="1:5" ht="13.5" customHeight="1" x14ac:dyDescent="0.3">
      <c r="A281" s="14" t="s">
        <v>41</v>
      </c>
      <c r="B281" s="49" t="s">
        <v>60</v>
      </c>
      <c r="C281" s="14"/>
      <c r="D281" s="48">
        <v>45961</v>
      </c>
      <c r="E281" s="50">
        <v>0.52083333333333337</v>
      </c>
    </row>
    <row r="282" spans="1:5" ht="13.5" customHeight="1" x14ac:dyDescent="0.3">
      <c r="A282" s="6" t="s">
        <v>42</v>
      </c>
      <c r="B282" s="39" t="s">
        <v>60</v>
      </c>
      <c r="C282" s="24" t="s">
        <v>73</v>
      </c>
      <c r="D282" s="31">
        <v>45961</v>
      </c>
      <c r="E282" s="35">
        <v>0.41666666666666669</v>
      </c>
    </row>
    <row r="283" spans="1:5" ht="13.5" customHeight="1" x14ac:dyDescent="0.3">
      <c r="A283" s="6" t="s">
        <v>42</v>
      </c>
      <c r="B283" s="39" t="s">
        <v>60</v>
      </c>
      <c r="C283" s="24" t="s">
        <v>73</v>
      </c>
      <c r="D283" s="31">
        <v>45961</v>
      </c>
      <c r="E283" s="35">
        <v>0.45833333333333331</v>
      </c>
    </row>
    <row r="284" spans="1:5" ht="13.5" customHeight="1" x14ac:dyDescent="0.3">
      <c r="A284" s="53" t="s">
        <v>42</v>
      </c>
      <c r="B284" s="56" t="s">
        <v>60</v>
      </c>
      <c r="C284" s="24" t="s">
        <v>73</v>
      </c>
      <c r="D284" s="54">
        <v>45961</v>
      </c>
      <c r="E284" s="55">
        <v>0.5</v>
      </c>
    </row>
    <row r="285" spans="1:5" ht="13.5" customHeight="1" x14ac:dyDescent="0.3">
      <c r="A285" s="29" t="s">
        <v>32</v>
      </c>
      <c r="B285" s="51" t="s">
        <v>62</v>
      </c>
      <c r="C285" s="27"/>
      <c r="D285" s="32">
        <v>45964</v>
      </c>
      <c r="E285" s="36">
        <v>0.41666666666666669</v>
      </c>
    </row>
    <row r="286" spans="1:5" ht="13.5" customHeight="1" x14ac:dyDescent="0.3">
      <c r="A286" s="6" t="s">
        <v>32</v>
      </c>
      <c r="B286" s="38" t="s">
        <v>62</v>
      </c>
      <c r="C286" s="24"/>
      <c r="D286" s="31">
        <v>45964</v>
      </c>
      <c r="E286" s="35">
        <v>0.45833333333333331</v>
      </c>
    </row>
    <row r="287" spans="1:5" ht="13.5" customHeight="1" x14ac:dyDescent="0.3">
      <c r="A287" s="6" t="s">
        <v>32</v>
      </c>
      <c r="B287" s="38" t="s">
        <v>62</v>
      </c>
      <c r="C287" s="24"/>
      <c r="D287" s="31">
        <v>45964</v>
      </c>
      <c r="E287" s="35">
        <v>0.5</v>
      </c>
    </row>
    <row r="288" spans="1:5" ht="13.5" customHeight="1" x14ac:dyDescent="0.3">
      <c r="A288" s="6" t="s">
        <v>37</v>
      </c>
      <c r="B288" s="39" t="s">
        <v>60</v>
      </c>
      <c r="C288" s="24" t="s">
        <v>20</v>
      </c>
      <c r="D288" s="31">
        <v>45964</v>
      </c>
      <c r="E288" s="35">
        <v>0.4375</v>
      </c>
    </row>
    <row r="289" spans="1:5" ht="13.5" customHeight="1" x14ac:dyDescent="0.3">
      <c r="A289" s="6" t="s">
        <v>37</v>
      </c>
      <c r="B289" s="39" t="s">
        <v>60</v>
      </c>
      <c r="C289" s="24" t="s">
        <v>20</v>
      </c>
      <c r="D289" s="31">
        <v>45964</v>
      </c>
      <c r="E289" s="35">
        <v>0.47916666666666669</v>
      </c>
    </row>
    <row r="290" spans="1:5" ht="13.5" customHeight="1" x14ac:dyDescent="0.3">
      <c r="A290" s="6" t="s">
        <v>37</v>
      </c>
      <c r="B290" s="39" t="s">
        <v>60</v>
      </c>
      <c r="C290" s="24" t="s">
        <v>20</v>
      </c>
      <c r="D290" s="31">
        <v>45964</v>
      </c>
      <c r="E290" s="35">
        <v>0.52083333333333337</v>
      </c>
    </row>
    <row r="291" spans="1:5" ht="13.5" customHeight="1" x14ac:dyDescent="0.3">
      <c r="A291" s="6" t="s">
        <v>34</v>
      </c>
      <c r="B291" s="39" t="s">
        <v>60</v>
      </c>
      <c r="C291" s="24" t="s">
        <v>20</v>
      </c>
      <c r="D291" s="48">
        <v>45968</v>
      </c>
      <c r="E291" s="50">
        <v>0.4236111111111111</v>
      </c>
    </row>
    <row r="292" spans="1:5" ht="13.5" customHeight="1" x14ac:dyDescent="0.3">
      <c r="A292" s="6" t="s">
        <v>34</v>
      </c>
      <c r="B292" s="39" t="s">
        <v>60</v>
      </c>
      <c r="C292" s="24" t="s">
        <v>20</v>
      </c>
      <c r="D292" s="48">
        <v>45968</v>
      </c>
      <c r="E292" s="50">
        <v>0.46527777777777773</v>
      </c>
    </row>
    <row r="293" spans="1:5" ht="13.5" customHeight="1" x14ac:dyDescent="0.3">
      <c r="A293" s="6" t="s">
        <v>34</v>
      </c>
      <c r="B293" s="39" t="s">
        <v>60</v>
      </c>
      <c r="C293" s="24" t="s">
        <v>20</v>
      </c>
      <c r="D293" s="48">
        <v>45968</v>
      </c>
      <c r="E293" s="50">
        <v>0.50694444444444442</v>
      </c>
    </row>
    <row r="294" spans="1:5" ht="13.5" customHeight="1" x14ac:dyDescent="0.3">
      <c r="A294" s="6" t="s">
        <v>51</v>
      </c>
      <c r="B294" s="43" t="s">
        <v>61</v>
      </c>
      <c r="C294" s="24"/>
      <c r="D294" s="48">
        <v>45967</v>
      </c>
      <c r="E294" s="50">
        <v>0.375</v>
      </c>
    </row>
    <row r="295" spans="1:5" ht="13.5" customHeight="1" x14ac:dyDescent="0.3">
      <c r="A295" s="6" t="s">
        <v>51</v>
      </c>
      <c r="B295" s="43" t="s">
        <v>61</v>
      </c>
      <c r="C295" s="24"/>
      <c r="D295" s="48">
        <v>45967</v>
      </c>
      <c r="E295" s="50">
        <v>0.41666666666666669</v>
      </c>
    </row>
    <row r="296" spans="1:5" ht="13.5" customHeight="1" x14ac:dyDescent="0.3">
      <c r="A296" s="6" t="s">
        <v>51</v>
      </c>
      <c r="B296" s="43" t="s">
        <v>61</v>
      </c>
      <c r="C296" s="24"/>
      <c r="D296" s="48">
        <v>45968</v>
      </c>
      <c r="E296" s="50">
        <v>0.54166666666666663</v>
      </c>
    </row>
    <row r="297" spans="1:5" ht="13.5" customHeight="1" x14ac:dyDescent="0.3">
      <c r="A297" s="6" t="s">
        <v>39</v>
      </c>
      <c r="B297" s="40" t="s">
        <v>64</v>
      </c>
      <c r="C297" s="24" t="s">
        <v>74</v>
      </c>
      <c r="D297" s="31">
        <v>45965</v>
      </c>
      <c r="E297" s="35">
        <v>0.41666666666666669</v>
      </c>
    </row>
    <row r="298" spans="1:5" ht="13.5" customHeight="1" x14ac:dyDescent="0.3">
      <c r="A298" s="6" t="s">
        <v>39</v>
      </c>
      <c r="B298" s="39" t="s">
        <v>60</v>
      </c>
      <c r="C298" s="24" t="s">
        <v>74</v>
      </c>
      <c r="D298" s="31">
        <v>45965</v>
      </c>
      <c r="E298" s="35">
        <v>0.45833333333333331</v>
      </c>
    </row>
    <row r="299" spans="1:5" ht="13.5" customHeight="1" x14ac:dyDescent="0.3">
      <c r="A299" s="6" t="s">
        <v>39</v>
      </c>
      <c r="B299" s="39" t="s">
        <v>60</v>
      </c>
      <c r="C299" s="24" t="s">
        <v>74</v>
      </c>
      <c r="D299" s="31">
        <v>45965</v>
      </c>
      <c r="E299" s="35">
        <v>0.5</v>
      </c>
    </row>
    <row r="300" spans="1:5" ht="13.5" customHeight="1" x14ac:dyDescent="0.3">
      <c r="A300" s="6" t="s">
        <v>35</v>
      </c>
      <c r="B300" s="39" t="s">
        <v>60</v>
      </c>
      <c r="C300" s="24"/>
      <c r="D300" s="31">
        <v>45965</v>
      </c>
      <c r="E300" s="35">
        <v>0.47916666666666669</v>
      </c>
    </row>
    <row r="301" spans="1:5" ht="13.5" customHeight="1" x14ac:dyDescent="0.3">
      <c r="A301" s="6" t="s">
        <v>35</v>
      </c>
      <c r="B301" s="39" t="s">
        <v>60</v>
      </c>
      <c r="C301" s="24"/>
      <c r="D301" s="31">
        <v>45965</v>
      </c>
      <c r="E301" s="35">
        <v>0.52083333333333337</v>
      </c>
    </row>
    <row r="302" spans="1:5" ht="13.5" customHeight="1" x14ac:dyDescent="0.3">
      <c r="A302" s="6" t="s">
        <v>35</v>
      </c>
      <c r="B302" s="39" t="s">
        <v>60</v>
      </c>
      <c r="C302" s="24"/>
      <c r="D302" s="31">
        <v>45965</v>
      </c>
      <c r="E302" s="35">
        <v>0.5625</v>
      </c>
    </row>
    <row r="303" spans="1:5" ht="13.5" customHeight="1" x14ac:dyDescent="0.3">
      <c r="A303" s="6" t="s">
        <v>53</v>
      </c>
      <c r="B303" s="44" t="s">
        <v>67</v>
      </c>
      <c r="C303" s="24"/>
      <c r="D303" s="31">
        <v>45965</v>
      </c>
      <c r="E303" s="37">
        <v>0.58333333333333337</v>
      </c>
    </row>
    <row r="304" spans="1:5" ht="13.5" customHeight="1" x14ac:dyDescent="0.3">
      <c r="A304" s="6" t="s">
        <v>68</v>
      </c>
      <c r="B304" s="39" t="s">
        <v>60</v>
      </c>
      <c r="C304" s="24"/>
      <c r="D304" s="31">
        <v>45966</v>
      </c>
      <c r="E304" s="35">
        <v>0.41666666666666669</v>
      </c>
    </row>
    <row r="305" spans="1:5" ht="13.5" customHeight="1" x14ac:dyDescent="0.3">
      <c r="A305" s="6" t="s">
        <v>68</v>
      </c>
      <c r="B305" s="39" t="s">
        <v>60</v>
      </c>
      <c r="C305" s="24"/>
      <c r="D305" s="31">
        <v>45966</v>
      </c>
      <c r="E305" s="35">
        <v>0.45833333333333331</v>
      </c>
    </row>
    <row r="306" spans="1:5" ht="13.5" customHeight="1" x14ac:dyDescent="0.3">
      <c r="A306" s="6" t="s">
        <v>38</v>
      </c>
      <c r="B306" s="39" t="s">
        <v>60</v>
      </c>
      <c r="C306" s="24"/>
      <c r="D306" s="31">
        <v>45966</v>
      </c>
      <c r="E306" s="35">
        <v>0.45833333333333331</v>
      </c>
    </row>
    <row r="307" spans="1:5" ht="13.5" customHeight="1" x14ac:dyDescent="0.3">
      <c r="A307" s="6" t="s">
        <v>38</v>
      </c>
      <c r="B307" s="39" t="s">
        <v>60</v>
      </c>
      <c r="C307" s="24"/>
      <c r="D307" s="31">
        <v>45966</v>
      </c>
      <c r="E307" s="35">
        <v>0.5</v>
      </c>
    </row>
    <row r="308" spans="1:5" ht="13.5" customHeight="1" x14ac:dyDescent="0.3">
      <c r="A308" s="6" t="s">
        <v>38</v>
      </c>
      <c r="B308" s="39" t="s">
        <v>60</v>
      </c>
      <c r="C308" s="24"/>
      <c r="D308" s="31">
        <v>45966</v>
      </c>
      <c r="E308" s="35">
        <v>0.54166666666666663</v>
      </c>
    </row>
    <row r="309" spans="1:5" ht="13.5" customHeight="1" x14ac:dyDescent="0.3">
      <c r="A309" s="6" t="s">
        <v>53</v>
      </c>
      <c r="B309" s="44" t="s">
        <v>67</v>
      </c>
      <c r="C309" s="24"/>
      <c r="D309" s="31">
        <v>45966</v>
      </c>
      <c r="E309" s="37">
        <v>0.58333333333333337</v>
      </c>
    </row>
    <row r="310" spans="1:5" ht="13.5" customHeight="1" x14ac:dyDescent="0.3">
      <c r="A310" s="6" t="s">
        <v>63</v>
      </c>
      <c r="B310" s="41" t="s">
        <v>65</v>
      </c>
      <c r="C310" s="24" t="s">
        <v>59</v>
      </c>
      <c r="D310" s="48">
        <v>45967</v>
      </c>
      <c r="E310" s="35">
        <v>0.625</v>
      </c>
    </row>
    <row r="311" spans="1:5" ht="13.5" customHeight="1" x14ac:dyDescent="0.3">
      <c r="A311" s="6" t="s">
        <v>63</v>
      </c>
      <c r="B311" s="41" t="s">
        <v>65</v>
      </c>
      <c r="C311" s="24" t="s">
        <v>59</v>
      </c>
      <c r="D311" s="48">
        <v>45967</v>
      </c>
      <c r="E311" s="35">
        <v>0.66666666666666663</v>
      </c>
    </row>
    <row r="312" spans="1:5" ht="13.5" customHeight="1" x14ac:dyDescent="0.3">
      <c r="A312" s="6" t="s">
        <v>36</v>
      </c>
      <c r="B312" s="40" t="s">
        <v>64</v>
      </c>
      <c r="C312" s="24"/>
      <c r="D312" s="31">
        <v>45967</v>
      </c>
      <c r="E312" s="35">
        <v>0.41666666666666669</v>
      </c>
    </row>
    <row r="313" spans="1:5" ht="13.5" customHeight="1" x14ac:dyDescent="0.3">
      <c r="A313" s="6" t="s">
        <v>36</v>
      </c>
      <c r="B313" s="39" t="s">
        <v>60</v>
      </c>
      <c r="C313" s="24"/>
      <c r="D313" s="31">
        <v>45967</v>
      </c>
      <c r="E313" s="35">
        <v>0.45833333333333331</v>
      </c>
    </row>
    <row r="314" spans="1:5" ht="13.5" customHeight="1" x14ac:dyDescent="0.3">
      <c r="A314" s="6" t="s">
        <v>40</v>
      </c>
      <c r="B314" s="42" t="s">
        <v>66</v>
      </c>
      <c r="C314" s="24"/>
      <c r="D314" s="31">
        <v>45967</v>
      </c>
      <c r="E314" s="35">
        <v>0.4375</v>
      </c>
    </row>
    <row r="315" spans="1:5" ht="13.5" customHeight="1" x14ac:dyDescent="0.3">
      <c r="A315" s="6" t="s">
        <v>40</v>
      </c>
      <c r="B315" s="42" t="s">
        <v>66</v>
      </c>
      <c r="C315" s="24"/>
      <c r="D315" s="31">
        <v>45967</v>
      </c>
      <c r="E315" s="35">
        <v>0.47916666666666669</v>
      </c>
    </row>
    <row r="316" spans="1:5" ht="13.5" customHeight="1" x14ac:dyDescent="0.3">
      <c r="A316" s="6" t="s">
        <v>50</v>
      </c>
      <c r="B316" s="43" t="s">
        <v>61</v>
      </c>
      <c r="C316" s="24"/>
      <c r="D316" s="31">
        <v>45967</v>
      </c>
      <c r="E316" s="35">
        <v>0.45833333333333331</v>
      </c>
    </row>
    <row r="317" spans="1:5" ht="13.5" customHeight="1" x14ac:dyDescent="0.3">
      <c r="A317" s="6" t="s">
        <v>50</v>
      </c>
      <c r="B317" s="43" t="s">
        <v>61</v>
      </c>
      <c r="C317" s="24"/>
      <c r="D317" s="31">
        <v>45967</v>
      </c>
      <c r="E317" s="35">
        <v>0.5</v>
      </c>
    </row>
    <row r="318" spans="1:5" ht="13.5" customHeight="1" x14ac:dyDescent="0.3">
      <c r="A318" s="6" t="s">
        <v>50</v>
      </c>
      <c r="B318" s="43" t="s">
        <v>61</v>
      </c>
      <c r="C318" s="24"/>
      <c r="D318" s="31">
        <v>45967</v>
      </c>
      <c r="E318" s="35">
        <v>0.54166666666666663</v>
      </c>
    </row>
    <row r="319" spans="1:5" ht="13.5" customHeight="1" x14ac:dyDescent="0.3">
      <c r="A319" s="6" t="s">
        <v>53</v>
      </c>
      <c r="B319" s="44" t="s">
        <v>67</v>
      </c>
      <c r="C319" s="24"/>
      <c r="D319" s="31">
        <v>45967</v>
      </c>
      <c r="E319" s="37">
        <v>0.58333333333333337</v>
      </c>
    </row>
    <row r="320" spans="1:5" ht="13.5" customHeight="1" x14ac:dyDescent="0.3">
      <c r="A320" s="6" t="s">
        <v>41</v>
      </c>
      <c r="B320" s="39" t="s">
        <v>60</v>
      </c>
      <c r="C320" s="24"/>
      <c r="D320" s="31">
        <v>45968</v>
      </c>
      <c r="E320" s="35">
        <v>0.4375</v>
      </c>
    </row>
    <row r="321" spans="1:5" ht="13.5" customHeight="1" x14ac:dyDescent="0.3">
      <c r="A321" s="6" t="s">
        <v>41</v>
      </c>
      <c r="B321" s="39" t="s">
        <v>60</v>
      </c>
      <c r="C321" s="24"/>
      <c r="D321" s="31">
        <v>45968</v>
      </c>
      <c r="E321" s="35">
        <v>0.47916666666666669</v>
      </c>
    </row>
    <row r="322" spans="1:5" ht="13.5" customHeight="1" x14ac:dyDescent="0.3">
      <c r="A322" s="6" t="s">
        <v>41</v>
      </c>
      <c r="B322" s="39" t="s">
        <v>60</v>
      </c>
      <c r="C322" s="24"/>
      <c r="D322" s="31">
        <v>45968</v>
      </c>
      <c r="E322" s="35">
        <v>0.52083333333333337</v>
      </c>
    </row>
    <row r="323" spans="1:5" ht="13.5" customHeight="1" x14ac:dyDescent="0.3">
      <c r="A323" s="61" t="s">
        <v>41</v>
      </c>
      <c r="B323" s="62" t="s">
        <v>60</v>
      </c>
      <c r="C323" s="61"/>
      <c r="D323" s="63">
        <v>45968</v>
      </c>
      <c r="E323" s="64">
        <v>0.5625</v>
      </c>
    </row>
    <row r="324" spans="1:5" ht="13.5" customHeight="1" x14ac:dyDescent="0.3">
      <c r="A324" s="6" t="s">
        <v>42</v>
      </c>
      <c r="B324" s="39" t="s">
        <v>60</v>
      </c>
      <c r="C324" s="24" t="s">
        <v>73</v>
      </c>
      <c r="D324" s="31">
        <v>45968</v>
      </c>
      <c r="E324" s="35">
        <v>0.41666666666666669</v>
      </c>
    </row>
    <row r="325" spans="1:5" ht="13.5" customHeight="1" x14ac:dyDescent="0.3">
      <c r="A325" s="6" t="s">
        <v>42</v>
      </c>
      <c r="B325" s="39" t="s">
        <v>60</v>
      </c>
      <c r="C325" s="24" t="s">
        <v>73</v>
      </c>
      <c r="D325" s="31">
        <v>45968</v>
      </c>
      <c r="E325" s="35">
        <v>0.45833333333333331</v>
      </c>
    </row>
    <row r="326" spans="1:5" ht="13.5" customHeight="1" x14ac:dyDescent="0.3">
      <c r="A326" s="6" t="s">
        <v>42</v>
      </c>
      <c r="B326" s="39" t="s">
        <v>60</v>
      </c>
      <c r="C326" s="24" t="s">
        <v>58</v>
      </c>
      <c r="D326" s="31">
        <v>45968</v>
      </c>
      <c r="E326" s="35">
        <v>0.5</v>
      </c>
    </row>
    <row r="327" spans="1:5" ht="13.5" customHeight="1" x14ac:dyDescent="0.3">
      <c r="A327" s="70" t="s">
        <v>32</v>
      </c>
      <c r="B327" s="62" t="s">
        <v>60</v>
      </c>
      <c r="C327" s="61" t="s">
        <v>58</v>
      </c>
      <c r="D327" s="63">
        <v>45969</v>
      </c>
      <c r="E327" s="64">
        <v>0.41666666666666669</v>
      </c>
    </row>
    <row r="328" spans="1:5" ht="13.5" customHeight="1" x14ac:dyDescent="0.3">
      <c r="A328" s="61" t="s">
        <v>32</v>
      </c>
      <c r="B328" s="62" t="s">
        <v>60</v>
      </c>
      <c r="C328" s="61" t="s">
        <v>58</v>
      </c>
      <c r="D328" s="63">
        <v>45969</v>
      </c>
      <c r="E328" s="64">
        <v>0.45833333333333331</v>
      </c>
    </row>
    <row r="329" spans="1:5" ht="13.5" customHeight="1" x14ac:dyDescent="0.3">
      <c r="A329" s="61" t="s">
        <v>32</v>
      </c>
      <c r="B329" s="62" t="s">
        <v>60</v>
      </c>
      <c r="C329" s="61" t="s">
        <v>58</v>
      </c>
      <c r="D329" s="63">
        <v>45969</v>
      </c>
      <c r="E329" s="64">
        <v>0.5</v>
      </c>
    </row>
    <row r="330" spans="1:5" ht="13.5" customHeight="1" x14ac:dyDescent="0.3">
      <c r="A330" s="6" t="s">
        <v>52</v>
      </c>
      <c r="B330" s="38" t="s">
        <v>62</v>
      </c>
      <c r="C330" s="24" t="s">
        <v>83</v>
      </c>
      <c r="D330" s="57">
        <v>45990</v>
      </c>
      <c r="E330" s="35">
        <v>0.41666666666666669</v>
      </c>
    </row>
    <row r="331" spans="1:5" ht="13.5" customHeight="1" x14ac:dyDescent="0.3">
      <c r="A331" s="6" t="s">
        <v>52</v>
      </c>
      <c r="B331" s="38" t="s">
        <v>62</v>
      </c>
      <c r="C331" s="24" t="s">
        <v>83</v>
      </c>
      <c r="D331" s="57">
        <v>45990</v>
      </c>
      <c r="E331" s="35">
        <v>0.45833333333333331</v>
      </c>
    </row>
    <row r="332" spans="1:5" ht="13.5" customHeight="1" x14ac:dyDescent="0.3">
      <c r="A332" s="6" t="s">
        <v>52</v>
      </c>
      <c r="B332" s="38" t="s">
        <v>62</v>
      </c>
      <c r="C332" s="24" t="s">
        <v>83</v>
      </c>
      <c r="D332" s="57">
        <v>45990</v>
      </c>
      <c r="E332" s="35">
        <v>0.5</v>
      </c>
    </row>
    <row r="333" spans="1:5" ht="13.5" customHeight="1" x14ac:dyDescent="0.3">
      <c r="A333" s="6" t="s">
        <v>39</v>
      </c>
      <c r="B333" s="39" t="s">
        <v>60</v>
      </c>
      <c r="C333" s="24" t="s">
        <v>73</v>
      </c>
      <c r="D333" s="45">
        <v>45969</v>
      </c>
      <c r="E333" s="35">
        <v>0.39583333333333331</v>
      </c>
    </row>
    <row r="334" spans="1:5" ht="13.5" customHeight="1" x14ac:dyDescent="0.3">
      <c r="A334" s="6" t="s">
        <v>39</v>
      </c>
      <c r="B334" s="39" t="s">
        <v>60</v>
      </c>
      <c r="C334" s="24" t="s">
        <v>73</v>
      </c>
      <c r="D334" s="45">
        <v>45969</v>
      </c>
      <c r="E334" s="35">
        <v>0.4375</v>
      </c>
    </row>
    <row r="335" spans="1:5" ht="13.5" customHeight="1" x14ac:dyDescent="0.3">
      <c r="A335" s="6" t="s">
        <v>39</v>
      </c>
      <c r="B335" s="39" t="s">
        <v>60</v>
      </c>
      <c r="C335" s="24" t="s">
        <v>73</v>
      </c>
      <c r="D335" s="45">
        <v>45969</v>
      </c>
      <c r="E335" s="35">
        <v>0.47916666666666669</v>
      </c>
    </row>
    <row r="336" spans="1:5" ht="13.5" customHeight="1" x14ac:dyDescent="0.3">
      <c r="A336" s="6" t="s">
        <v>41</v>
      </c>
      <c r="B336" s="39" t="s">
        <v>60</v>
      </c>
      <c r="C336" s="24"/>
      <c r="D336" s="45">
        <v>45969</v>
      </c>
      <c r="E336" s="35">
        <v>0.4375</v>
      </c>
    </row>
    <row r="337" spans="1:5" ht="13.5" customHeight="1" x14ac:dyDescent="0.3">
      <c r="A337" s="6" t="s">
        <v>41</v>
      </c>
      <c r="B337" s="39" t="s">
        <v>60</v>
      </c>
      <c r="C337" s="24"/>
      <c r="D337" s="45">
        <v>45969</v>
      </c>
      <c r="E337" s="35">
        <v>0.47916666666666669</v>
      </c>
    </row>
    <row r="338" spans="1:5" ht="13.5" customHeight="1" x14ac:dyDescent="0.3">
      <c r="A338" s="6" t="s">
        <v>41</v>
      </c>
      <c r="B338" s="39" t="s">
        <v>60</v>
      </c>
      <c r="C338" s="24"/>
      <c r="D338" s="45">
        <v>45969</v>
      </c>
      <c r="E338" s="35">
        <v>0.52083333333333337</v>
      </c>
    </row>
    <row r="339" spans="1:5" ht="13.5" customHeight="1" x14ac:dyDescent="0.3">
      <c r="A339" s="6" t="s">
        <v>32</v>
      </c>
      <c r="B339" s="38" t="s">
        <v>62</v>
      </c>
      <c r="C339" s="24" t="s">
        <v>20</v>
      </c>
      <c r="D339" s="31">
        <v>45971</v>
      </c>
      <c r="E339" s="35">
        <v>0.41666666666666669</v>
      </c>
    </row>
    <row r="340" spans="1:5" ht="13.5" customHeight="1" x14ac:dyDescent="0.3">
      <c r="A340" s="6" t="s">
        <v>32</v>
      </c>
      <c r="B340" s="38" t="s">
        <v>62</v>
      </c>
      <c r="C340" s="24" t="s">
        <v>20</v>
      </c>
      <c r="D340" s="31">
        <v>45971</v>
      </c>
      <c r="E340" s="35">
        <v>0.45833333333333331</v>
      </c>
    </row>
    <row r="341" spans="1:5" ht="13.5" customHeight="1" x14ac:dyDescent="0.3">
      <c r="A341" s="6" t="s">
        <v>32</v>
      </c>
      <c r="B341" s="38" t="s">
        <v>62</v>
      </c>
      <c r="C341" s="24" t="s">
        <v>20</v>
      </c>
      <c r="D341" s="31">
        <v>45971</v>
      </c>
      <c r="E341" s="35">
        <v>0.5</v>
      </c>
    </row>
    <row r="342" spans="1:5" ht="13.5" customHeight="1" x14ac:dyDescent="0.3">
      <c r="A342" s="6" t="s">
        <v>37</v>
      </c>
      <c r="B342" s="39" t="s">
        <v>60</v>
      </c>
      <c r="C342" s="24" t="s">
        <v>20</v>
      </c>
      <c r="D342" s="31">
        <v>45971</v>
      </c>
      <c r="E342" s="35">
        <v>0.4375</v>
      </c>
    </row>
    <row r="343" spans="1:5" ht="13.5" customHeight="1" x14ac:dyDescent="0.3">
      <c r="A343" s="6" t="s">
        <v>37</v>
      </c>
      <c r="B343" s="39" t="s">
        <v>60</v>
      </c>
      <c r="C343" s="24" t="s">
        <v>20</v>
      </c>
      <c r="D343" s="31">
        <v>45971</v>
      </c>
      <c r="E343" s="35">
        <v>0.47916666666666669</v>
      </c>
    </row>
    <row r="344" spans="1:5" ht="13.5" customHeight="1" x14ac:dyDescent="0.3">
      <c r="A344" s="6" t="s">
        <v>37</v>
      </c>
      <c r="B344" s="39" t="s">
        <v>60</v>
      </c>
      <c r="C344" s="24" t="s">
        <v>20</v>
      </c>
      <c r="D344" s="31">
        <v>45971</v>
      </c>
      <c r="E344" s="35">
        <v>0.52083333333333337</v>
      </c>
    </row>
    <row r="345" spans="1:5" ht="13.5" customHeight="1" x14ac:dyDescent="0.3">
      <c r="A345" s="6" t="s">
        <v>34</v>
      </c>
      <c r="B345" s="39" t="s">
        <v>60</v>
      </c>
      <c r="C345" s="24" t="s">
        <v>20</v>
      </c>
      <c r="D345" s="48">
        <v>45975</v>
      </c>
      <c r="E345" s="50">
        <v>0.4236111111111111</v>
      </c>
    </row>
    <row r="346" spans="1:5" ht="13.5" customHeight="1" x14ac:dyDescent="0.3">
      <c r="A346" s="6" t="s">
        <v>34</v>
      </c>
      <c r="B346" s="39" t="s">
        <v>60</v>
      </c>
      <c r="C346" s="24" t="s">
        <v>20</v>
      </c>
      <c r="D346" s="48">
        <v>45975</v>
      </c>
      <c r="E346" s="50">
        <v>0.46527777777777773</v>
      </c>
    </row>
    <row r="347" spans="1:5" ht="13.5" customHeight="1" x14ac:dyDescent="0.3">
      <c r="A347" s="6" t="s">
        <v>34</v>
      </c>
      <c r="B347" s="39" t="s">
        <v>60</v>
      </c>
      <c r="C347" s="24" t="s">
        <v>20</v>
      </c>
      <c r="D347" s="48">
        <v>45975</v>
      </c>
      <c r="E347" s="50">
        <v>0.50694444444444442</v>
      </c>
    </row>
    <row r="348" spans="1:5" ht="13.5" customHeight="1" x14ac:dyDescent="0.3">
      <c r="A348" s="6" t="s">
        <v>51</v>
      </c>
      <c r="B348" s="43" t="s">
        <v>61</v>
      </c>
      <c r="C348" s="24"/>
      <c r="D348" s="31">
        <v>45972</v>
      </c>
      <c r="E348" s="35">
        <v>0.41666666666666669</v>
      </c>
    </row>
    <row r="349" spans="1:5" ht="13.5" customHeight="1" x14ac:dyDescent="0.3">
      <c r="A349" s="6" t="s">
        <v>105</v>
      </c>
      <c r="B349" s="43" t="s">
        <v>61</v>
      </c>
      <c r="C349" s="24"/>
      <c r="D349" s="31">
        <v>45972</v>
      </c>
      <c r="E349" s="58" t="s">
        <v>75</v>
      </c>
    </row>
    <row r="350" spans="1:5" ht="13.5" customHeight="1" x14ac:dyDescent="0.3">
      <c r="A350" s="6" t="s">
        <v>51</v>
      </c>
      <c r="B350" s="43" t="s">
        <v>61</v>
      </c>
      <c r="C350" s="24"/>
      <c r="D350" s="31">
        <v>45972</v>
      </c>
      <c r="E350" s="35">
        <v>0.5</v>
      </c>
    </row>
    <row r="351" spans="1:5" ht="13.5" customHeight="1" x14ac:dyDescent="0.3">
      <c r="A351" s="6" t="s">
        <v>39</v>
      </c>
      <c r="B351" s="40" t="s">
        <v>64</v>
      </c>
      <c r="C351" s="24" t="s">
        <v>74</v>
      </c>
      <c r="D351" s="31">
        <v>45972</v>
      </c>
      <c r="E351" s="35">
        <v>0.41666666666666669</v>
      </c>
    </row>
    <row r="352" spans="1:5" ht="13.5" customHeight="1" x14ac:dyDescent="0.3">
      <c r="A352" s="6" t="s">
        <v>39</v>
      </c>
      <c r="B352" s="39" t="s">
        <v>60</v>
      </c>
      <c r="C352" s="24" t="s">
        <v>74</v>
      </c>
      <c r="D352" s="31">
        <v>45972</v>
      </c>
      <c r="E352" s="35">
        <v>0.45833333333333331</v>
      </c>
    </row>
    <row r="353" spans="1:6" ht="13.5" customHeight="1" x14ac:dyDescent="0.3">
      <c r="A353" s="6" t="s">
        <v>39</v>
      </c>
      <c r="B353" s="39" t="s">
        <v>60</v>
      </c>
      <c r="C353" s="24" t="s">
        <v>74</v>
      </c>
      <c r="D353" s="31">
        <v>45972</v>
      </c>
      <c r="E353" s="35">
        <v>0.5</v>
      </c>
    </row>
    <row r="354" spans="1:6" ht="13.5" customHeight="1" x14ac:dyDescent="0.3">
      <c r="A354" s="6" t="s">
        <v>35</v>
      </c>
      <c r="B354" s="39" t="s">
        <v>60</v>
      </c>
      <c r="C354" s="24"/>
      <c r="D354" s="31">
        <v>45972</v>
      </c>
      <c r="E354" s="35">
        <v>0.47916666666666669</v>
      </c>
    </row>
    <row r="355" spans="1:6" ht="13.5" customHeight="1" x14ac:dyDescent="0.3">
      <c r="A355" s="6" t="s">
        <v>35</v>
      </c>
      <c r="B355" s="39" t="s">
        <v>60</v>
      </c>
      <c r="C355" s="24"/>
      <c r="D355" s="31">
        <v>45972</v>
      </c>
      <c r="E355" s="35">
        <v>0.52083333333333337</v>
      </c>
    </row>
    <row r="356" spans="1:6" ht="13.5" customHeight="1" x14ac:dyDescent="0.3">
      <c r="A356" s="6" t="s">
        <v>35</v>
      </c>
      <c r="B356" s="39" t="s">
        <v>60</v>
      </c>
      <c r="C356" s="24"/>
      <c r="D356" s="31">
        <v>45972</v>
      </c>
      <c r="E356" s="35">
        <v>0.5625</v>
      </c>
    </row>
    <row r="357" spans="1:6" ht="13.5" customHeight="1" x14ac:dyDescent="0.3">
      <c r="A357" s="6" t="s">
        <v>53</v>
      </c>
      <c r="B357" s="44" t="s">
        <v>67</v>
      </c>
      <c r="C357" s="24"/>
      <c r="D357" s="31">
        <v>45972</v>
      </c>
      <c r="E357" s="37">
        <v>0.58333333333333337</v>
      </c>
    </row>
    <row r="358" spans="1:6" ht="13.5" customHeight="1" x14ac:dyDescent="0.3">
      <c r="A358" s="6" t="s">
        <v>68</v>
      </c>
      <c r="B358" s="39" t="s">
        <v>60</v>
      </c>
      <c r="C358" s="24"/>
      <c r="D358" s="31">
        <v>45973</v>
      </c>
      <c r="E358" s="35">
        <v>0.41666666666666669</v>
      </c>
    </row>
    <row r="359" spans="1:6" ht="13.5" customHeight="1" x14ac:dyDescent="0.3">
      <c r="A359" s="6" t="s">
        <v>68</v>
      </c>
      <c r="B359" s="39" t="s">
        <v>60</v>
      </c>
      <c r="C359" s="24"/>
      <c r="D359" s="31">
        <v>45973</v>
      </c>
      <c r="E359" s="35">
        <v>0.45833333333333331</v>
      </c>
    </row>
    <row r="360" spans="1:6" ht="13.5" customHeight="1" x14ac:dyDescent="0.3">
      <c r="A360" s="6" t="s">
        <v>38</v>
      </c>
      <c r="B360" s="39" t="s">
        <v>60</v>
      </c>
      <c r="C360" s="24"/>
      <c r="D360" s="31">
        <v>45973</v>
      </c>
      <c r="E360" s="35">
        <v>0.45833333333333331</v>
      </c>
    </row>
    <row r="361" spans="1:6" ht="13.5" customHeight="1" x14ac:dyDescent="0.3">
      <c r="A361" s="6" t="s">
        <v>38</v>
      </c>
      <c r="B361" s="39" t="s">
        <v>60</v>
      </c>
      <c r="C361" s="24"/>
      <c r="D361" s="31">
        <v>45973</v>
      </c>
      <c r="E361" s="35">
        <v>0.5</v>
      </c>
    </row>
    <row r="362" spans="1:6" ht="13.5" customHeight="1" x14ac:dyDescent="0.3">
      <c r="A362" s="6" t="s">
        <v>38</v>
      </c>
      <c r="B362" s="39" t="s">
        <v>60</v>
      </c>
      <c r="C362" s="24"/>
      <c r="D362" s="31">
        <v>45973</v>
      </c>
      <c r="E362" s="35">
        <v>0.54166666666666663</v>
      </c>
    </row>
    <row r="363" spans="1:6" ht="13.5" customHeight="1" x14ac:dyDescent="0.3">
      <c r="A363" s="6" t="s">
        <v>53</v>
      </c>
      <c r="B363" s="44" t="s">
        <v>67</v>
      </c>
      <c r="C363" s="24"/>
      <c r="D363" s="31">
        <v>45973</v>
      </c>
      <c r="E363" s="37">
        <v>0.58333333333333337</v>
      </c>
    </row>
    <row r="364" spans="1:6" ht="13.5" customHeight="1" x14ac:dyDescent="0.3">
      <c r="A364" s="61" t="s">
        <v>4</v>
      </c>
      <c r="B364" s="62" t="s">
        <v>7</v>
      </c>
      <c r="C364" s="61" t="s">
        <v>20</v>
      </c>
      <c r="D364" s="63">
        <v>45972</v>
      </c>
      <c r="E364" s="64">
        <v>0.41666666666666669</v>
      </c>
      <c r="F364" s="60" t="s">
        <v>88</v>
      </c>
    </row>
    <row r="365" spans="1:6" ht="13.5" customHeight="1" x14ac:dyDescent="0.3">
      <c r="A365" s="6" t="s">
        <v>36</v>
      </c>
      <c r="B365" s="40" t="s">
        <v>64</v>
      </c>
      <c r="C365" s="24"/>
      <c r="D365" s="31">
        <v>45974</v>
      </c>
      <c r="E365" s="35">
        <v>0.41666666666666669</v>
      </c>
    </row>
    <row r="366" spans="1:6" ht="13.5" customHeight="1" x14ac:dyDescent="0.3">
      <c r="A366" s="6" t="s">
        <v>36</v>
      </c>
      <c r="B366" s="39" t="s">
        <v>60</v>
      </c>
      <c r="C366" s="24"/>
      <c r="D366" s="31">
        <v>45974</v>
      </c>
      <c r="E366" s="35">
        <v>0.45833333333333331</v>
      </c>
    </row>
    <row r="367" spans="1:6" ht="13.5" customHeight="1" x14ac:dyDescent="0.3">
      <c r="A367" s="6" t="s">
        <v>40</v>
      </c>
      <c r="B367" s="42" t="s">
        <v>66</v>
      </c>
      <c r="C367" s="24"/>
      <c r="D367" s="31">
        <v>45974</v>
      </c>
      <c r="E367" s="35">
        <v>0.4375</v>
      </c>
    </row>
    <row r="368" spans="1:6" ht="13.5" customHeight="1" x14ac:dyDescent="0.3">
      <c r="A368" s="6" t="s">
        <v>40</v>
      </c>
      <c r="B368" s="42" t="s">
        <v>66</v>
      </c>
      <c r="C368" s="24"/>
      <c r="D368" s="31">
        <v>45974</v>
      </c>
      <c r="E368" s="35">
        <v>0.47916666666666669</v>
      </c>
    </row>
    <row r="369" spans="1:5" ht="13.5" customHeight="1" x14ac:dyDescent="0.3">
      <c r="A369" s="6" t="s">
        <v>50</v>
      </c>
      <c r="B369" s="43" t="s">
        <v>61</v>
      </c>
      <c r="C369" s="24"/>
      <c r="D369" s="31">
        <v>45974</v>
      </c>
      <c r="E369" s="35">
        <v>0.45833333333333331</v>
      </c>
    </row>
    <row r="370" spans="1:5" ht="13.5" customHeight="1" x14ac:dyDescent="0.3">
      <c r="A370" s="6" t="s">
        <v>23</v>
      </c>
      <c r="B370" s="43" t="s">
        <v>61</v>
      </c>
      <c r="C370" s="24"/>
      <c r="D370" s="31">
        <v>45974</v>
      </c>
      <c r="E370" s="35">
        <v>0.5</v>
      </c>
    </row>
    <row r="371" spans="1:5" ht="13.5" customHeight="1" x14ac:dyDescent="0.3">
      <c r="A371" s="6" t="s">
        <v>50</v>
      </c>
      <c r="B371" s="43" t="s">
        <v>61</v>
      </c>
      <c r="C371" s="24"/>
      <c r="D371" s="31">
        <v>45974</v>
      </c>
      <c r="E371" s="35">
        <v>0.54166666666666663</v>
      </c>
    </row>
    <row r="372" spans="1:5" ht="13.5" customHeight="1" x14ac:dyDescent="0.3">
      <c r="A372" s="6" t="s">
        <v>53</v>
      </c>
      <c r="B372" s="44" t="s">
        <v>67</v>
      </c>
      <c r="C372" s="24"/>
      <c r="D372" s="31">
        <v>45974</v>
      </c>
      <c r="E372" s="37">
        <v>0.58333333333333337</v>
      </c>
    </row>
    <row r="373" spans="1:5" ht="13.5" customHeight="1" x14ac:dyDescent="0.3">
      <c r="A373" s="6" t="s">
        <v>41</v>
      </c>
      <c r="B373" s="39" t="s">
        <v>60</v>
      </c>
      <c r="C373" s="24"/>
      <c r="D373" s="31">
        <v>45975</v>
      </c>
      <c r="E373" s="35">
        <v>0.4375</v>
      </c>
    </row>
    <row r="374" spans="1:5" ht="13.5" customHeight="1" x14ac:dyDescent="0.3">
      <c r="A374" s="6" t="s">
        <v>41</v>
      </c>
      <c r="B374" s="39" t="s">
        <v>60</v>
      </c>
      <c r="C374" s="24"/>
      <c r="D374" s="31">
        <v>45975</v>
      </c>
      <c r="E374" s="35">
        <v>0.47916666666666669</v>
      </c>
    </row>
    <row r="375" spans="1:5" ht="13.5" customHeight="1" x14ac:dyDescent="0.3">
      <c r="A375" s="6" t="s">
        <v>41</v>
      </c>
      <c r="B375" s="39" t="s">
        <v>60</v>
      </c>
      <c r="C375" s="24"/>
      <c r="D375" s="31">
        <v>45975</v>
      </c>
      <c r="E375" s="35">
        <v>0.52083333333333337</v>
      </c>
    </row>
    <row r="376" spans="1:5" ht="13.5" customHeight="1" x14ac:dyDescent="0.3">
      <c r="A376" s="6" t="s">
        <v>42</v>
      </c>
      <c r="B376" s="39" t="s">
        <v>60</v>
      </c>
      <c r="C376" s="24" t="s">
        <v>73</v>
      </c>
      <c r="D376" s="31">
        <v>45975</v>
      </c>
      <c r="E376" s="35">
        <v>0.41666666666666669</v>
      </c>
    </row>
    <row r="377" spans="1:5" ht="13.5" customHeight="1" x14ac:dyDescent="0.3">
      <c r="A377" s="6" t="s">
        <v>42</v>
      </c>
      <c r="B377" s="39" t="s">
        <v>60</v>
      </c>
      <c r="C377" s="24" t="s">
        <v>73</v>
      </c>
      <c r="D377" s="31">
        <v>45975</v>
      </c>
      <c r="E377" s="35">
        <v>0.45833333333333331</v>
      </c>
    </row>
    <row r="378" spans="1:5" ht="13.5" customHeight="1" x14ac:dyDescent="0.3">
      <c r="A378" s="6" t="s">
        <v>42</v>
      </c>
      <c r="B378" s="39" t="s">
        <v>60</v>
      </c>
      <c r="C378" s="24" t="s">
        <v>73</v>
      </c>
      <c r="D378" s="31">
        <v>45975</v>
      </c>
      <c r="E378" s="35">
        <v>0.5</v>
      </c>
    </row>
    <row r="379" spans="1:5" ht="13.5" customHeight="1" x14ac:dyDescent="0.3">
      <c r="A379" s="6" t="s">
        <v>54</v>
      </c>
      <c r="B379" s="41" t="s">
        <v>65</v>
      </c>
      <c r="C379" s="24"/>
      <c r="D379" s="31">
        <v>45975</v>
      </c>
      <c r="E379" s="35">
        <v>0.4375</v>
      </c>
    </row>
    <row r="380" spans="1:5" ht="13.5" customHeight="1" x14ac:dyDescent="0.3">
      <c r="A380" s="6" t="s">
        <v>107</v>
      </c>
      <c r="B380" s="41" t="s">
        <v>65</v>
      </c>
      <c r="C380" s="24"/>
      <c r="D380" s="31">
        <v>45975</v>
      </c>
      <c r="E380" s="58" t="s">
        <v>75</v>
      </c>
    </row>
    <row r="381" spans="1:5" ht="13.5" customHeight="1" x14ac:dyDescent="0.3">
      <c r="A381" s="6" t="s">
        <v>52</v>
      </c>
      <c r="B381" s="38" t="s">
        <v>62</v>
      </c>
      <c r="C381" s="24"/>
      <c r="D381" s="57">
        <v>45962</v>
      </c>
      <c r="E381" s="35">
        <v>0.41666666666666669</v>
      </c>
    </row>
    <row r="382" spans="1:5" ht="13.5" customHeight="1" x14ac:dyDescent="0.3">
      <c r="A382" s="6" t="s">
        <v>52</v>
      </c>
      <c r="B382" s="38" t="s">
        <v>62</v>
      </c>
      <c r="C382" s="24"/>
      <c r="D382" s="57">
        <v>45962</v>
      </c>
      <c r="E382" s="35">
        <v>0.45833333333333331</v>
      </c>
    </row>
    <row r="383" spans="1:5" ht="13.5" customHeight="1" x14ac:dyDescent="0.3">
      <c r="A383" s="6" t="s">
        <v>52</v>
      </c>
      <c r="B383" s="38" t="s">
        <v>62</v>
      </c>
      <c r="C383" s="24"/>
      <c r="D383" s="57">
        <v>45962</v>
      </c>
      <c r="E383" s="35">
        <v>0.5</v>
      </c>
    </row>
    <row r="384" spans="1:5" ht="13.5" customHeight="1" x14ac:dyDescent="0.3">
      <c r="A384" s="6" t="s">
        <v>39</v>
      </c>
      <c r="B384" s="39" t="s">
        <v>60</v>
      </c>
      <c r="C384" s="24" t="s">
        <v>73</v>
      </c>
      <c r="D384" s="45">
        <v>45976</v>
      </c>
      <c r="E384" s="35">
        <v>0.39583333333333331</v>
      </c>
    </row>
    <row r="385" spans="1:5" ht="13.5" customHeight="1" x14ac:dyDescent="0.3">
      <c r="A385" s="6" t="s">
        <v>39</v>
      </c>
      <c r="B385" s="39" t="s">
        <v>60</v>
      </c>
      <c r="C385" s="24" t="s">
        <v>73</v>
      </c>
      <c r="D385" s="45">
        <v>45976</v>
      </c>
      <c r="E385" s="35">
        <v>0.4375</v>
      </c>
    </row>
    <row r="386" spans="1:5" ht="13.5" customHeight="1" x14ac:dyDescent="0.3">
      <c r="A386" s="6" t="s">
        <v>39</v>
      </c>
      <c r="B386" s="39" t="s">
        <v>60</v>
      </c>
      <c r="C386" s="24" t="s">
        <v>73</v>
      </c>
      <c r="D386" s="45">
        <v>45976</v>
      </c>
      <c r="E386" s="35">
        <v>0.47916666666666669</v>
      </c>
    </row>
    <row r="387" spans="1:5" ht="13.5" customHeight="1" x14ac:dyDescent="0.3">
      <c r="A387" s="6" t="s">
        <v>41</v>
      </c>
      <c r="B387" s="39" t="s">
        <v>60</v>
      </c>
      <c r="C387" s="24"/>
      <c r="D387" s="45">
        <v>45976</v>
      </c>
      <c r="E387" s="35">
        <v>0.4375</v>
      </c>
    </row>
    <row r="388" spans="1:5" ht="13.5" customHeight="1" x14ac:dyDescent="0.3">
      <c r="A388" s="6" t="s">
        <v>41</v>
      </c>
      <c r="B388" s="39" t="s">
        <v>60</v>
      </c>
      <c r="C388" s="24"/>
      <c r="D388" s="45">
        <v>45976</v>
      </c>
      <c r="E388" s="35">
        <v>0.47916666666666669</v>
      </c>
    </row>
    <row r="389" spans="1:5" ht="13.5" customHeight="1" x14ac:dyDescent="0.3">
      <c r="A389" s="6" t="s">
        <v>41</v>
      </c>
      <c r="B389" s="39" t="s">
        <v>60</v>
      </c>
      <c r="C389" s="24"/>
      <c r="D389" s="45">
        <v>45976</v>
      </c>
      <c r="E389" s="35">
        <v>0.52083333333333337</v>
      </c>
    </row>
    <row r="390" spans="1:5" ht="13.5" customHeight="1" x14ac:dyDescent="0.3">
      <c r="A390" s="6" t="s">
        <v>32</v>
      </c>
      <c r="B390" s="38" t="s">
        <v>62</v>
      </c>
      <c r="C390" s="24" t="s">
        <v>20</v>
      </c>
      <c r="D390" s="31">
        <v>45978</v>
      </c>
      <c r="E390" s="35">
        <v>0.41666666666666669</v>
      </c>
    </row>
    <row r="391" spans="1:5" ht="13.5" customHeight="1" x14ac:dyDescent="0.3">
      <c r="A391" s="6" t="s">
        <v>32</v>
      </c>
      <c r="B391" s="38" t="s">
        <v>62</v>
      </c>
      <c r="C391" s="24" t="s">
        <v>20</v>
      </c>
      <c r="D391" s="31">
        <v>45978</v>
      </c>
      <c r="E391" s="35">
        <v>0.45833333333333331</v>
      </c>
    </row>
    <row r="392" spans="1:5" ht="13.5" customHeight="1" x14ac:dyDescent="0.3">
      <c r="A392" s="6" t="s">
        <v>32</v>
      </c>
      <c r="B392" s="38" t="s">
        <v>62</v>
      </c>
      <c r="C392" s="24" t="s">
        <v>20</v>
      </c>
      <c r="D392" s="31">
        <v>45978</v>
      </c>
      <c r="E392" s="35">
        <v>0.5</v>
      </c>
    </row>
    <row r="393" spans="1:5" ht="13.5" customHeight="1" x14ac:dyDescent="0.3">
      <c r="A393" s="6" t="s">
        <v>37</v>
      </c>
      <c r="B393" s="39" t="s">
        <v>60</v>
      </c>
      <c r="C393" s="24" t="s">
        <v>20</v>
      </c>
      <c r="D393" s="48">
        <v>45975</v>
      </c>
      <c r="E393" s="35">
        <v>0.4375</v>
      </c>
    </row>
    <row r="394" spans="1:5" ht="13.5" customHeight="1" x14ac:dyDescent="0.3">
      <c r="A394" s="6" t="s">
        <v>37</v>
      </c>
      <c r="B394" s="39" t="s">
        <v>60</v>
      </c>
      <c r="C394" s="24" t="s">
        <v>20</v>
      </c>
      <c r="D394" s="48">
        <v>45975</v>
      </c>
      <c r="E394" s="35">
        <v>0.47916666666666669</v>
      </c>
    </row>
    <row r="395" spans="1:5" ht="13.5" customHeight="1" x14ac:dyDescent="0.3">
      <c r="A395" s="6" t="s">
        <v>37</v>
      </c>
      <c r="B395" s="39" t="s">
        <v>60</v>
      </c>
      <c r="C395" s="24" t="s">
        <v>20</v>
      </c>
      <c r="D395" s="48">
        <v>45975</v>
      </c>
      <c r="E395" s="35">
        <v>0.52083333333333337</v>
      </c>
    </row>
    <row r="396" spans="1:5" ht="13.5" customHeight="1" x14ac:dyDescent="0.3">
      <c r="A396" s="61" t="s">
        <v>37</v>
      </c>
      <c r="B396" s="62" t="s">
        <v>60</v>
      </c>
      <c r="C396" s="61" t="s">
        <v>20</v>
      </c>
      <c r="D396" s="63">
        <v>45975</v>
      </c>
      <c r="E396" s="64">
        <v>0.5625</v>
      </c>
    </row>
    <row r="397" spans="1:5" ht="13.5" customHeight="1" x14ac:dyDescent="0.3">
      <c r="A397" s="6" t="s">
        <v>34</v>
      </c>
      <c r="B397" s="39" t="s">
        <v>60</v>
      </c>
      <c r="C397" s="24" t="s">
        <v>20</v>
      </c>
      <c r="D397" s="48">
        <v>45982</v>
      </c>
      <c r="E397" s="50">
        <v>0.4236111111111111</v>
      </c>
    </row>
    <row r="398" spans="1:5" ht="13.5" customHeight="1" x14ac:dyDescent="0.3">
      <c r="A398" s="6" t="s">
        <v>34</v>
      </c>
      <c r="B398" s="39" t="s">
        <v>60</v>
      </c>
      <c r="C398" s="24" t="s">
        <v>20</v>
      </c>
      <c r="D398" s="48">
        <v>45982</v>
      </c>
      <c r="E398" s="50">
        <v>0.46527777777777773</v>
      </c>
    </row>
    <row r="399" spans="1:5" ht="13.5" customHeight="1" x14ac:dyDescent="0.3">
      <c r="A399" s="6" t="s">
        <v>34</v>
      </c>
      <c r="B399" s="39" t="s">
        <v>60</v>
      </c>
      <c r="C399" s="24" t="s">
        <v>20</v>
      </c>
      <c r="D399" s="48">
        <v>45982</v>
      </c>
      <c r="E399" s="50">
        <v>0.50694444444444442</v>
      </c>
    </row>
    <row r="400" spans="1:5" ht="13.5" customHeight="1" x14ac:dyDescent="0.3">
      <c r="A400" s="6" t="s">
        <v>51</v>
      </c>
      <c r="B400" s="43" t="s">
        <v>61</v>
      </c>
      <c r="C400" s="24"/>
      <c r="D400" s="31">
        <v>45979</v>
      </c>
      <c r="E400" s="35">
        <v>0.41666666666666669</v>
      </c>
    </row>
    <row r="401" spans="1:5" ht="13.5" customHeight="1" x14ac:dyDescent="0.3">
      <c r="A401" s="6" t="s">
        <v>51</v>
      </c>
      <c r="B401" s="43" t="s">
        <v>61</v>
      </c>
      <c r="C401" s="24"/>
      <c r="D401" s="31">
        <v>45979</v>
      </c>
      <c r="E401" s="35">
        <v>0.45833333333333331</v>
      </c>
    </row>
    <row r="402" spans="1:5" ht="13.5" customHeight="1" x14ac:dyDescent="0.3">
      <c r="A402" s="6" t="s">
        <v>51</v>
      </c>
      <c r="B402" s="43" t="s">
        <v>61</v>
      </c>
      <c r="C402" s="24"/>
      <c r="D402" s="31">
        <v>45979</v>
      </c>
      <c r="E402" s="35">
        <v>0.5</v>
      </c>
    </row>
    <row r="403" spans="1:5" ht="13.5" customHeight="1" x14ac:dyDescent="0.3">
      <c r="A403" s="6" t="s">
        <v>39</v>
      </c>
      <c r="B403" s="40" t="s">
        <v>64</v>
      </c>
      <c r="C403" s="24" t="s">
        <v>74</v>
      </c>
      <c r="D403" s="31">
        <v>45979</v>
      </c>
      <c r="E403" s="35">
        <v>0.41666666666666669</v>
      </c>
    </row>
    <row r="404" spans="1:5" ht="13.5" customHeight="1" x14ac:dyDescent="0.3">
      <c r="A404" s="6" t="s">
        <v>39</v>
      </c>
      <c r="B404" s="39" t="s">
        <v>60</v>
      </c>
      <c r="C404" s="24" t="s">
        <v>74</v>
      </c>
      <c r="D404" s="31">
        <v>45979</v>
      </c>
      <c r="E404" s="35">
        <v>0.45833333333333331</v>
      </c>
    </row>
    <row r="405" spans="1:5" ht="13.5" customHeight="1" x14ac:dyDescent="0.3">
      <c r="A405" s="6" t="s">
        <v>39</v>
      </c>
      <c r="B405" s="39" t="s">
        <v>60</v>
      </c>
      <c r="C405" s="24" t="s">
        <v>74</v>
      </c>
      <c r="D405" s="31">
        <v>45979</v>
      </c>
      <c r="E405" s="35">
        <v>0.5</v>
      </c>
    </row>
    <row r="406" spans="1:5" ht="13.5" customHeight="1" x14ac:dyDescent="0.3">
      <c r="A406" s="6" t="s">
        <v>35</v>
      </c>
      <c r="B406" s="39" t="s">
        <v>60</v>
      </c>
      <c r="C406" s="24"/>
      <c r="D406" s="31">
        <v>45979</v>
      </c>
      <c r="E406" s="35">
        <v>0.47916666666666669</v>
      </c>
    </row>
    <row r="407" spans="1:5" ht="13.5" customHeight="1" x14ac:dyDescent="0.3">
      <c r="A407" s="6" t="s">
        <v>35</v>
      </c>
      <c r="B407" s="39" t="s">
        <v>60</v>
      </c>
      <c r="C407" s="24"/>
      <c r="D407" s="31">
        <v>45979</v>
      </c>
      <c r="E407" s="35">
        <v>0.52083333333333337</v>
      </c>
    </row>
    <row r="408" spans="1:5" ht="13.5" customHeight="1" x14ac:dyDescent="0.3">
      <c r="A408" s="6" t="s">
        <v>35</v>
      </c>
      <c r="B408" s="39" t="s">
        <v>60</v>
      </c>
      <c r="C408" s="24"/>
      <c r="D408" s="31">
        <v>45979</v>
      </c>
      <c r="E408" s="35">
        <v>0.5625</v>
      </c>
    </row>
    <row r="409" spans="1:5" ht="13.5" customHeight="1" x14ac:dyDescent="0.3">
      <c r="A409" s="6" t="s">
        <v>53</v>
      </c>
      <c r="B409" s="44" t="s">
        <v>67</v>
      </c>
      <c r="C409" s="24"/>
      <c r="D409" s="31">
        <v>45979</v>
      </c>
      <c r="E409" s="37">
        <v>0.58333333333333337</v>
      </c>
    </row>
    <row r="410" spans="1:5" ht="13.5" customHeight="1" x14ac:dyDescent="0.3">
      <c r="A410" s="6" t="s">
        <v>68</v>
      </c>
      <c r="B410" s="39" t="s">
        <v>60</v>
      </c>
      <c r="C410" s="24"/>
      <c r="D410" s="31">
        <v>45980</v>
      </c>
      <c r="E410" s="35">
        <v>0.41666666666666669</v>
      </c>
    </row>
    <row r="411" spans="1:5" ht="13.5" customHeight="1" x14ac:dyDescent="0.3">
      <c r="A411" s="6" t="s">
        <v>68</v>
      </c>
      <c r="B411" s="39" t="s">
        <v>60</v>
      </c>
      <c r="C411" s="24"/>
      <c r="D411" s="31">
        <v>45980</v>
      </c>
      <c r="E411" s="35">
        <v>0.45833333333333331</v>
      </c>
    </row>
    <row r="412" spans="1:5" ht="13.5" customHeight="1" x14ac:dyDescent="0.3">
      <c r="A412" s="6" t="s">
        <v>38</v>
      </c>
      <c r="B412" s="39" t="s">
        <v>60</v>
      </c>
      <c r="C412" s="24"/>
      <c r="D412" s="31">
        <v>45980</v>
      </c>
      <c r="E412" s="35">
        <v>0.45833333333333331</v>
      </c>
    </row>
    <row r="413" spans="1:5" ht="13.5" customHeight="1" x14ac:dyDescent="0.3">
      <c r="A413" s="6" t="s">
        <v>38</v>
      </c>
      <c r="B413" s="39" t="s">
        <v>60</v>
      </c>
      <c r="C413" s="24"/>
      <c r="D413" s="31">
        <v>45980</v>
      </c>
      <c r="E413" s="35">
        <v>0.5</v>
      </c>
    </row>
    <row r="414" spans="1:5" ht="13.5" customHeight="1" x14ac:dyDescent="0.3">
      <c r="A414" s="6" t="s">
        <v>38</v>
      </c>
      <c r="B414" s="39" t="s">
        <v>60</v>
      </c>
      <c r="C414" s="24"/>
      <c r="D414" s="31">
        <v>45980</v>
      </c>
      <c r="E414" s="35">
        <v>0.54166666666666663</v>
      </c>
    </row>
    <row r="415" spans="1:5" ht="13.5" customHeight="1" x14ac:dyDescent="0.3">
      <c r="A415" s="6" t="s">
        <v>53</v>
      </c>
      <c r="B415" s="44" t="s">
        <v>67</v>
      </c>
      <c r="C415" s="24"/>
      <c r="D415" s="31">
        <v>45980</v>
      </c>
      <c r="E415" s="37">
        <v>0.58333333333333337</v>
      </c>
    </row>
    <row r="416" spans="1:5" ht="13.5" customHeight="1" x14ac:dyDescent="0.3">
      <c r="A416" s="6" t="s">
        <v>63</v>
      </c>
      <c r="B416" s="41" t="s">
        <v>65</v>
      </c>
      <c r="C416" s="24" t="s">
        <v>59</v>
      </c>
      <c r="D416" s="48">
        <v>45981</v>
      </c>
      <c r="E416" s="35">
        <v>0.625</v>
      </c>
    </row>
    <row r="417" spans="1:5" ht="13.5" customHeight="1" x14ac:dyDescent="0.3">
      <c r="A417" s="6" t="s">
        <v>63</v>
      </c>
      <c r="B417" s="41" t="s">
        <v>65</v>
      </c>
      <c r="C417" s="24" t="s">
        <v>59</v>
      </c>
      <c r="D417" s="48">
        <v>45981</v>
      </c>
      <c r="E417" s="35">
        <v>0.66666666666666663</v>
      </c>
    </row>
    <row r="418" spans="1:5" ht="13.5" customHeight="1" x14ac:dyDescent="0.3">
      <c r="A418" s="6" t="s">
        <v>36</v>
      </c>
      <c r="B418" s="40" t="s">
        <v>64</v>
      </c>
      <c r="C418" s="24"/>
      <c r="D418" s="31">
        <v>45981</v>
      </c>
      <c r="E418" s="35">
        <v>0.41666666666666669</v>
      </c>
    </row>
    <row r="419" spans="1:5" ht="13.5" customHeight="1" x14ac:dyDescent="0.3">
      <c r="A419" s="6" t="s">
        <v>36</v>
      </c>
      <c r="B419" s="39" t="s">
        <v>60</v>
      </c>
      <c r="C419" s="24"/>
      <c r="D419" s="31">
        <v>45981</v>
      </c>
      <c r="E419" s="35">
        <v>0.45833333333333331</v>
      </c>
    </row>
    <row r="420" spans="1:5" ht="13.5" customHeight="1" x14ac:dyDescent="0.3">
      <c r="A420" s="6" t="s">
        <v>40</v>
      </c>
      <c r="B420" s="42" t="s">
        <v>66</v>
      </c>
      <c r="C420" s="24"/>
      <c r="D420" s="48">
        <v>45980</v>
      </c>
      <c r="E420" s="50">
        <v>0.41666666666666669</v>
      </c>
    </row>
    <row r="421" spans="1:5" ht="13.5" customHeight="1" x14ac:dyDescent="0.3">
      <c r="A421" s="6" t="s">
        <v>40</v>
      </c>
      <c r="B421" s="42" t="s">
        <v>66</v>
      </c>
      <c r="C421" s="24"/>
      <c r="D421" s="31">
        <v>45981</v>
      </c>
      <c r="E421" s="35">
        <v>0.47916666666666669</v>
      </c>
    </row>
    <row r="422" spans="1:5" ht="13.5" customHeight="1" x14ac:dyDescent="0.3">
      <c r="A422" s="6" t="s">
        <v>50</v>
      </c>
      <c r="B422" s="43" t="s">
        <v>61</v>
      </c>
      <c r="C422" s="24"/>
      <c r="D422" s="31">
        <v>45981</v>
      </c>
      <c r="E422" s="35">
        <v>0.45833333333333331</v>
      </c>
    </row>
    <row r="423" spans="1:5" ht="13.5" customHeight="1" x14ac:dyDescent="0.3">
      <c r="A423" s="6" t="s">
        <v>50</v>
      </c>
      <c r="B423" s="43" t="s">
        <v>61</v>
      </c>
      <c r="C423" s="24"/>
      <c r="D423" s="31">
        <v>45981</v>
      </c>
      <c r="E423" s="35">
        <v>0.5</v>
      </c>
    </row>
    <row r="424" spans="1:5" ht="13.5" customHeight="1" x14ac:dyDescent="0.3">
      <c r="A424" s="6" t="s">
        <v>50</v>
      </c>
      <c r="B424" s="43" t="s">
        <v>61</v>
      </c>
      <c r="C424" s="24"/>
      <c r="D424" s="31">
        <v>45981</v>
      </c>
      <c r="E424" s="35">
        <v>0.54166666666666663</v>
      </c>
    </row>
    <row r="425" spans="1:5" ht="13.5" customHeight="1" x14ac:dyDescent="0.3">
      <c r="A425" s="6" t="s">
        <v>53</v>
      </c>
      <c r="B425" s="44" t="s">
        <v>67</v>
      </c>
      <c r="C425" s="24"/>
      <c r="D425" s="31">
        <v>45981</v>
      </c>
      <c r="E425" s="37">
        <v>0.58333333333333337</v>
      </c>
    </row>
    <row r="426" spans="1:5" ht="13.5" customHeight="1" x14ac:dyDescent="0.3">
      <c r="A426" s="6" t="s">
        <v>41</v>
      </c>
      <c r="B426" s="39" t="s">
        <v>60</v>
      </c>
      <c r="C426" s="24"/>
      <c r="D426" s="31">
        <v>45982</v>
      </c>
      <c r="E426" s="35">
        <v>0.4375</v>
      </c>
    </row>
    <row r="427" spans="1:5" ht="13.5" customHeight="1" x14ac:dyDescent="0.3">
      <c r="A427" s="6" t="s">
        <v>41</v>
      </c>
      <c r="B427" s="39" t="s">
        <v>60</v>
      </c>
      <c r="C427" s="24"/>
      <c r="D427" s="31">
        <v>45982</v>
      </c>
      <c r="E427" s="35">
        <v>0.47916666666666669</v>
      </c>
    </row>
    <row r="428" spans="1:5" ht="13.5" customHeight="1" x14ac:dyDescent="0.3">
      <c r="A428" s="6" t="s">
        <v>41</v>
      </c>
      <c r="B428" s="39" t="s">
        <v>60</v>
      </c>
      <c r="C428" s="24"/>
      <c r="D428" s="31">
        <v>45982</v>
      </c>
      <c r="E428" s="35">
        <v>0.52083333333333337</v>
      </c>
    </row>
    <row r="429" spans="1:5" ht="13.5" customHeight="1" x14ac:dyDescent="0.3">
      <c r="A429" s="6" t="s">
        <v>42</v>
      </c>
      <c r="B429" s="39" t="s">
        <v>60</v>
      </c>
      <c r="C429" s="24" t="s">
        <v>73</v>
      </c>
      <c r="D429" s="31">
        <v>45982</v>
      </c>
      <c r="E429" s="35">
        <v>0.41666666666666669</v>
      </c>
    </row>
    <row r="430" spans="1:5" ht="13.5" customHeight="1" x14ac:dyDescent="0.3">
      <c r="A430" s="6" t="s">
        <v>42</v>
      </c>
      <c r="B430" s="39" t="s">
        <v>60</v>
      </c>
      <c r="C430" s="24" t="s">
        <v>73</v>
      </c>
      <c r="D430" s="31">
        <v>45982</v>
      </c>
      <c r="E430" s="35">
        <v>0.45833333333333331</v>
      </c>
    </row>
    <row r="431" spans="1:5" ht="13.5" customHeight="1" x14ac:dyDescent="0.3">
      <c r="A431" s="6" t="s">
        <v>42</v>
      </c>
      <c r="B431" s="39" t="s">
        <v>60</v>
      </c>
      <c r="C431" s="24" t="s">
        <v>73</v>
      </c>
      <c r="D431" s="31">
        <v>45982</v>
      </c>
      <c r="E431" s="35">
        <v>0.5</v>
      </c>
    </row>
    <row r="432" spans="1:5" ht="13.5" customHeight="1" x14ac:dyDescent="0.3">
      <c r="A432" s="61" t="s">
        <v>22</v>
      </c>
      <c r="B432" s="62" t="s">
        <v>65</v>
      </c>
      <c r="C432" s="61" t="s">
        <v>58</v>
      </c>
      <c r="D432" s="63">
        <v>45983</v>
      </c>
      <c r="E432" s="64">
        <v>0.41666666666666669</v>
      </c>
    </row>
    <row r="433" spans="1:6" ht="13.5" customHeight="1" x14ac:dyDescent="0.3">
      <c r="A433" s="6" t="s">
        <v>52</v>
      </c>
      <c r="B433" s="38" t="s">
        <v>62</v>
      </c>
      <c r="C433" s="24"/>
      <c r="D433" s="45">
        <v>45983</v>
      </c>
      <c r="E433" s="35">
        <v>0.41666666666666669</v>
      </c>
    </row>
    <row r="434" spans="1:6" ht="13.5" customHeight="1" x14ac:dyDescent="0.3">
      <c r="A434" s="6" t="s">
        <v>52</v>
      </c>
      <c r="B434" s="38" t="s">
        <v>62</v>
      </c>
      <c r="C434" s="24"/>
      <c r="D434" s="45">
        <v>45983</v>
      </c>
      <c r="E434" s="35">
        <v>0.45833333333333331</v>
      </c>
    </row>
    <row r="435" spans="1:6" ht="13.5" customHeight="1" x14ac:dyDescent="0.3">
      <c r="A435" s="6" t="s">
        <v>52</v>
      </c>
      <c r="B435" s="38" t="s">
        <v>62</v>
      </c>
      <c r="C435" s="24"/>
      <c r="D435" s="45">
        <v>45983</v>
      </c>
      <c r="E435" s="35">
        <v>0.5</v>
      </c>
    </row>
    <row r="436" spans="1:6" ht="13.5" customHeight="1" x14ac:dyDescent="0.3">
      <c r="A436" s="6" t="s">
        <v>39</v>
      </c>
      <c r="B436" s="39" t="s">
        <v>60</v>
      </c>
      <c r="C436" s="24" t="s">
        <v>73</v>
      </c>
      <c r="D436" s="45">
        <v>45983</v>
      </c>
      <c r="E436" s="35">
        <v>0.39583333333333331</v>
      </c>
    </row>
    <row r="437" spans="1:6" ht="13.5" customHeight="1" x14ac:dyDescent="0.3">
      <c r="A437" s="6" t="s">
        <v>39</v>
      </c>
      <c r="B437" s="39" t="s">
        <v>60</v>
      </c>
      <c r="C437" s="24" t="s">
        <v>73</v>
      </c>
      <c r="D437" s="45">
        <v>45983</v>
      </c>
      <c r="E437" s="35">
        <v>0.4375</v>
      </c>
    </row>
    <row r="438" spans="1:6" ht="13.5" customHeight="1" x14ac:dyDescent="0.3">
      <c r="A438" s="6" t="s">
        <v>39</v>
      </c>
      <c r="B438" s="39" t="s">
        <v>60</v>
      </c>
      <c r="C438" s="24" t="s">
        <v>73</v>
      </c>
      <c r="D438" s="45">
        <v>45983</v>
      </c>
      <c r="E438" s="35">
        <v>0.47916666666666669</v>
      </c>
    </row>
    <row r="439" spans="1:6" ht="13.5" customHeight="1" x14ac:dyDescent="0.3">
      <c r="A439" s="6" t="s">
        <v>41</v>
      </c>
      <c r="B439" s="39" t="s">
        <v>60</v>
      </c>
      <c r="C439" s="24"/>
      <c r="D439" s="45">
        <v>45983</v>
      </c>
      <c r="E439" s="35">
        <v>0.4375</v>
      </c>
    </row>
    <row r="440" spans="1:6" ht="13.5" customHeight="1" x14ac:dyDescent="0.3">
      <c r="A440" s="6" t="s">
        <v>41</v>
      </c>
      <c r="B440" s="39" t="s">
        <v>60</v>
      </c>
      <c r="C440" s="24"/>
      <c r="D440" s="45">
        <v>45983</v>
      </c>
      <c r="E440" s="35">
        <v>0.47916666666666669</v>
      </c>
    </row>
    <row r="441" spans="1:6" ht="13.5" customHeight="1" x14ac:dyDescent="0.3">
      <c r="A441" s="6" t="s">
        <v>41</v>
      </c>
      <c r="B441" s="39" t="s">
        <v>60</v>
      </c>
      <c r="C441" s="24"/>
      <c r="D441" s="45">
        <v>45983</v>
      </c>
      <c r="E441" s="35">
        <v>0.52083333333333337</v>
      </c>
    </row>
    <row r="442" spans="1:6" ht="13.5" customHeight="1" x14ac:dyDescent="0.3">
      <c r="A442" s="6" t="s">
        <v>32</v>
      </c>
      <c r="B442" s="38" t="s">
        <v>62</v>
      </c>
      <c r="C442" s="24" t="s">
        <v>20</v>
      </c>
      <c r="D442" s="31">
        <v>45985</v>
      </c>
      <c r="E442" s="35">
        <v>0.41666666666666669</v>
      </c>
    </row>
    <row r="443" spans="1:6" ht="13.5" customHeight="1" x14ac:dyDescent="0.3">
      <c r="A443" s="6" t="s">
        <v>32</v>
      </c>
      <c r="B443" s="38" t="s">
        <v>62</v>
      </c>
      <c r="C443" s="24" t="s">
        <v>20</v>
      </c>
      <c r="D443" s="31">
        <v>45985</v>
      </c>
      <c r="E443" s="35">
        <v>0.45833333333333331</v>
      </c>
    </row>
    <row r="444" spans="1:6" ht="13.5" customHeight="1" x14ac:dyDescent="0.3">
      <c r="A444" s="6" t="s">
        <v>89</v>
      </c>
      <c r="B444" s="39" t="s">
        <v>60</v>
      </c>
      <c r="C444" s="24" t="s">
        <v>20</v>
      </c>
      <c r="D444" s="31">
        <v>45985</v>
      </c>
      <c r="E444" s="58" t="s">
        <v>75</v>
      </c>
      <c r="F444" s="1" t="s">
        <v>112</v>
      </c>
    </row>
    <row r="445" spans="1:6" ht="13.5" customHeight="1" x14ac:dyDescent="0.3">
      <c r="A445" s="6" t="s">
        <v>37</v>
      </c>
      <c r="B445" s="39" t="s">
        <v>60</v>
      </c>
      <c r="C445" s="24" t="s">
        <v>20</v>
      </c>
      <c r="D445" s="31">
        <v>45985</v>
      </c>
      <c r="E445" s="35">
        <v>0.47916666666666669</v>
      </c>
    </row>
    <row r="446" spans="1:6" ht="13.5" customHeight="1" x14ac:dyDescent="0.3">
      <c r="A446" s="6" t="s">
        <v>34</v>
      </c>
      <c r="B446" s="39" t="s">
        <v>60</v>
      </c>
      <c r="C446" s="24" t="s">
        <v>20</v>
      </c>
      <c r="D446" s="48">
        <v>45989</v>
      </c>
      <c r="E446" s="50">
        <v>0.4236111111111111</v>
      </c>
    </row>
    <row r="447" spans="1:6" ht="13.5" customHeight="1" x14ac:dyDescent="0.3">
      <c r="A447" s="6" t="s">
        <v>34</v>
      </c>
      <c r="B447" s="39" t="s">
        <v>60</v>
      </c>
      <c r="C447" s="24" t="s">
        <v>20</v>
      </c>
      <c r="D447" s="48">
        <v>45989</v>
      </c>
      <c r="E447" s="50">
        <v>0.46527777777777773</v>
      </c>
    </row>
    <row r="448" spans="1:6" ht="13.5" customHeight="1" x14ac:dyDescent="0.3">
      <c r="A448" s="6" t="s">
        <v>51</v>
      </c>
      <c r="B448" s="43" t="s">
        <v>61</v>
      </c>
      <c r="C448" s="24"/>
      <c r="D448" s="48">
        <v>45985</v>
      </c>
      <c r="E448" s="35">
        <v>0.41666666666666669</v>
      </c>
    </row>
    <row r="449" spans="1:5" ht="13.5" customHeight="1" x14ac:dyDescent="0.3">
      <c r="A449" s="6" t="s">
        <v>51</v>
      </c>
      <c r="B449" s="43" t="s">
        <v>61</v>
      </c>
      <c r="C449" s="24"/>
      <c r="D449" s="48">
        <v>45985</v>
      </c>
      <c r="E449" s="35">
        <v>0.45833333333333331</v>
      </c>
    </row>
    <row r="450" spans="1:5" ht="13.5" customHeight="1" x14ac:dyDescent="0.3">
      <c r="A450" s="6" t="s">
        <v>39</v>
      </c>
      <c r="B450" s="49" t="s">
        <v>60</v>
      </c>
      <c r="C450" s="24" t="s">
        <v>74</v>
      </c>
      <c r="D450" s="31">
        <v>45986</v>
      </c>
      <c r="E450" s="35">
        <v>0.41666666666666669</v>
      </c>
    </row>
    <row r="451" spans="1:5" ht="13.5" customHeight="1" x14ac:dyDescent="0.3">
      <c r="A451" s="6" t="s">
        <v>39</v>
      </c>
      <c r="B451" s="39" t="s">
        <v>60</v>
      </c>
      <c r="C451" s="24" t="s">
        <v>74</v>
      </c>
      <c r="D451" s="31">
        <v>45986</v>
      </c>
      <c r="E451" s="35">
        <v>0.45833333333333331</v>
      </c>
    </row>
    <row r="452" spans="1:5" ht="13.5" customHeight="1" x14ac:dyDescent="0.3">
      <c r="A452" s="6" t="s">
        <v>35</v>
      </c>
      <c r="B452" s="39" t="s">
        <v>60</v>
      </c>
      <c r="C452" s="24"/>
      <c r="D452" s="31">
        <v>45986</v>
      </c>
      <c r="E452" s="35">
        <v>0.47916666666666669</v>
      </c>
    </row>
    <row r="453" spans="1:5" ht="13.5" customHeight="1" x14ac:dyDescent="0.3">
      <c r="A453" s="6" t="s">
        <v>35</v>
      </c>
      <c r="B453" s="39" t="s">
        <v>60</v>
      </c>
      <c r="C453" s="24"/>
      <c r="D453" s="31">
        <v>45986</v>
      </c>
      <c r="E453" s="35">
        <v>0.52083333333333337</v>
      </c>
    </row>
    <row r="454" spans="1:5" ht="13.5" customHeight="1" x14ac:dyDescent="0.3">
      <c r="A454" s="6" t="s">
        <v>68</v>
      </c>
      <c r="B454" s="39" t="s">
        <v>60</v>
      </c>
      <c r="C454" s="24"/>
      <c r="D454" s="31">
        <v>45987</v>
      </c>
      <c r="E454" s="35">
        <v>0.41666666666666669</v>
      </c>
    </row>
    <row r="455" spans="1:5" ht="13.5" customHeight="1" x14ac:dyDescent="0.3">
      <c r="A455" s="6" t="s">
        <v>68</v>
      </c>
      <c r="B455" s="39" t="s">
        <v>60</v>
      </c>
      <c r="C455" s="24"/>
      <c r="D455" s="31">
        <v>45987</v>
      </c>
      <c r="E455" s="35">
        <v>0.45833333333333331</v>
      </c>
    </row>
    <row r="456" spans="1:5" ht="13.5" customHeight="1" x14ac:dyDescent="0.3">
      <c r="A456" s="6" t="s">
        <v>38</v>
      </c>
      <c r="B456" s="39" t="s">
        <v>60</v>
      </c>
      <c r="C456" s="24"/>
      <c r="D456" s="31">
        <v>45987</v>
      </c>
      <c r="E456" s="35">
        <v>0.45833333333333331</v>
      </c>
    </row>
    <row r="457" spans="1:5" ht="13.5" customHeight="1" x14ac:dyDescent="0.3">
      <c r="A457" s="6" t="s">
        <v>38</v>
      </c>
      <c r="B457" s="39" t="s">
        <v>60</v>
      </c>
      <c r="C457" s="24"/>
      <c r="D457" s="31">
        <v>45987</v>
      </c>
      <c r="E457" s="35">
        <v>0.5</v>
      </c>
    </row>
    <row r="458" spans="1:5" ht="13.5" customHeight="1" x14ac:dyDescent="0.3">
      <c r="A458" s="6" t="s">
        <v>36</v>
      </c>
      <c r="B458" s="49" t="s">
        <v>60</v>
      </c>
      <c r="C458" s="24"/>
      <c r="D458" s="31">
        <v>45988</v>
      </c>
      <c r="E458" s="35">
        <v>0.41666666666666669</v>
      </c>
    </row>
    <row r="459" spans="1:5" ht="13.5" customHeight="1" x14ac:dyDescent="0.3">
      <c r="A459" s="6" t="s">
        <v>36</v>
      </c>
      <c r="B459" s="39" t="s">
        <v>60</v>
      </c>
      <c r="C459" s="24"/>
      <c r="D459" s="31">
        <v>45988</v>
      </c>
      <c r="E459" s="35">
        <v>0.45833333333333331</v>
      </c>
    </row>
    <row r="460" spans="1:5" ht="13.5" customHeight="1" x14ac:dyDescent="0.3">
      <c r="A460" s="6" t="s">
        <v>41</v>
      </c>
      <c r="B460" s="39" t="s">
        <v>60</v>
      </c>
      <c r="C460" s="24"/>
      <c r="D460" s="31">
        <v>45989</v>
      </c>
      <c r="E460" s="35">
        <v>0.4375</v>
      </c>
    </row>
    <row r="461" spans="1:5" ht="13.5" customHeight="1" x14ac:dyDescent="0.3">
      <c r="A461" s="6" t="s">
        <v>41</v>
      </c>
      <c r="B461" s="39" t="s">
        <v>60</v>
      </c>
      <c r="C461" s="24"/>
      <c r="D461" s="31">
        <v>45989</v>
      </c>
      <c r="E461" s="35">
        <v>0.47916666666666669</v>
      </c>
    </row>
    <row r="462" spans="1:5" ht="13.5" customHeight="1" x14ac:dyDescent="0.3">
      <c r="A462" s="6" t="s">
        <v>42</v>
      </c>
      <c r="B462" s="39" t="s">
        <v>60</v>
      </c>
      <c r="C462" s="24" t="s">
        <v>73</v>
      </c>
      <c r="D462" s="31">
        <v>45989</v>
      </c>
      <c r="E462" s="35">
        <v>0.41666666666666669</v>
      </c>
    </row>
    <row r="463" spans="1:5" ht="13.5" customHeight="1" x14ac:dyDescent="0.3">
      <c r="A463" s="6" t="s">
        <v>42</v>
      </c>
      <c r="B463" s="39" t="s">
        <v>60</v>
      </c>
      <c r="C463" s="24" t="s">
        <v>73</v>
      </c>
      <c r="D463" s="31">
        <v>45989</v>
      </c>
      <c r="E463" s="35">
        <v>0.45833333333333331</v>
      </c>
    </row>
    <row r="464" spans="1:5" ht="13.5" customHeight="1" x14ac:dyDescent="0.3">
      <c r="A464" s="6" t="s">
        <v>54</v>
      </c>
      <c r="B464" s="41" t="s">
        <v>65</v>
      </c>
      <c r="C464" s="24"/>
      <c r="D464" s="31">
        <v>45989</v>
      </c>
      <c r="E464" s="35">
        <v>0.4375</v>
      </c>
    </row>
    <row r="465" spans="1:6" ht="13.5" customHeight="1" thickBot="1" x14ac:dyDescent="0.35">
      <c r="A465" s="30" t="s">
        <v>107</v>
      </c>
      <c r="B465" s="52" t="s">
        <v>65</v>
      </c>
      <c r="C465" s="28"/>
      <c r="D465" s="33">
        <v>45989</v>
      </c>
      <c r="E465" s="79" t="s">
        <v>75</v>
      </c>
    </row>
    <row r="466" spans="1:6" ht="13.5" customHeight="1" x14ac:dyDescent="0.3">
      <c r="A466" s="70" t="s">
        <v>32</v>
      </c>
      <c r="B466" s="75" t="s">
        <v>62</v>
      </c>
      <c r="C466" s="70"/>
      <c r="D466" s="76">
        <v>45992</v>
      </c>
      <c r="E466" s="77">
        <v>0.375</v>
      </c>
      <c r="F466" s="78" t="s">
        <v>88</v>
      </c>
    </row>
    <row r="467" spans="1:6" ht="13.5" customHeight="1" x14ac:dyDescent="0.3">
      <c r="A467" s="29" t="s">
        <v>32</v>
      </c>
      <c r="B467" s="51" t="s">
        <v>62</v>
      </c>
      <c r="C467" s="27"/>
      <c r="D467" s="32">
        <v>45992</v>
      </c>
      <c r="E467" s="36">
        <v>0.41666666666666669</v>
      </c>
    </row>
    <row r="468" spans="1:6" ht="13.5" customHeight="1" x14ac:dyDescent="0.3">
      <c r="A468" s="6" t="s">
        <v>32</v>
      </c>
      <c r="B468" s="38" t="s">
        <v>62</v>
      </c>
      <c r="C468" s="24"/>
      <c r="D468" s="31">
        <v>45992</v>
      </c>
      <c r="E468" s="35">
        <v>0.45833333333333331</v>
      </c>
    </row>
    <row r="469" spans="1:6" ht="13.5" customHeight="1" x14ac:dyDescent="0.3">
      <c r="A469" s="6" t="s">
        <v>37</v>
      </c>
      <c r="B469" s="43" t="s">
        <v>61</v>
      </c>
      <c r="C469" s="24" t="s">
        <v>73</v>
      </c>
      <c r="D469" s="48">
        <v>45994</v>
      </c>
      <c r="E469" s="35">
        <v>0.4375</v>
      </c>
    </row>
    <row r="470" spans="1:6" ht="13.5" customHeight="1" x14ac:dyDescent="0.3">
      <c r="A470" s="6" t="s">
        <v>37</v>
      </c>
      <c r="B470" s="43" t="s">
        <v>61</v>
      </c>
      <c r="C470" s="24" t="s">
        <v>73</v>
      </c>
      <c r="D470" s="48">
        <v>45994</v>
      </c>
      <c r="E470" s="35">
        <v>0.47916666666666669</v>
      </c>
    </row>
    <row r="471" spans="1:6" ht="13.5" customHeight="1" x14ac:dyDescent="0.3">
      <c r="A471" s="6" t="s">
        <v>34</v>
      </c>
      <c r="B471" s="39" t="s">
        <v>60</v>
      </c>
      <c r="C471" s="24" t="s">
        <v>59</v>
      </c>
      <c r="D471" s="31">
        <v>45992</v>
      </c>
      <c r="E471" s="35">
        <v>0.54166666666666663</v>
      </c>
    </row>
    <row r="472" spans="1:6" ht="13.5" customHeight="1" x14ac:dyDescent="0.3">
      <c r="A472" s="6" t="s">
        <v>34</v>
      </c>
      <c r="B472" s="39" t="s">
        <v>60</v>
      </c>
      <c r="C472" s="24" t="s">
        <v>59</v>
      </c>
      <c r="D472" s="31">
        <v>45992</v>
      </c>
      <c r="E472" s="35">
        <v>0.58333333333333337</v>
      </c>
    </row>
    <row r="473" spans="1:6" ht="13.5" customHeight="1" x14ac:dyDescent="0.3">
      <c r="A473" s="6" t="s">
        <v>51</v>
      </c>
      <c r="B473" s="43" t="s">
        <v>61</v>
      </c>
      <c r="C473" s="24"/>
      <c r="D473" s="31">
        <v>45993</v>
      </c>
      <c r="E473" s="35">
        <v>0.41666666666666669</v>
      </c>
    </row>
    <row r="474" spans="1:6" ht="13.5" customHeight="1" x14ac:dyDescent="0.3">
      <c r="A474" s="6" t="s">
        <v>51</v>
      </c>
      <c r="B474" s="43" t="s">
        <v>61</v>
      </c>
      <c r="C474" s="24"/>
      <c r="D474" s="31">
        <v>45993</v>
      </c>
      <c r="E474" s="35">
        <v>0.45833333333333331</v>
      </c>
    </row>
    <row r="475" spans="1:6" ht="13.5" customHeight="1" x14ac:dyDescent="0.3">
      <c r="A475" s="6" t="s">
        <v>39</v>
      </c>
      <c r="B475" s="40" t="s">
        <v>64</v>
      </c>
      <c r="C475" s="24" t="s">
        <v>73</v>
      </c>
      <c r="D475" s="48">
        <v>45995</v>
      </c>
      <c r="E475" s="35">
        <v>0.41666666666666669</v>
      </c>
    </row>
    <row r="476" spans="1:6" ht="13.5" customHeight="1" x14ac:dyDescent="0.3">
      <c r="A476" s="6" t="s">
        <v>39</v>
      </c>
      <c r="B476" s="39" t="s">
        <v>60</v>
      </c>
      <c r="C476" s="24" t="s">
        <v>73</v>
      </c>
      <c r="D476" s="48">
        <v>45995</v>
      </c>
      <c r="E476" s="35">
        <v>0.45833333333333331</v>
      </c>
    </row>
    <row r="477" spans="1:6" ht="13.5" customHeight="1" x14ac:dyDescent="0.3">
      <c r="A477" s="61" t="s">
        <v>35</v>
      </c>
      <c r="B477" s="62" t="s">
        <v>60</v>
      </c>
      <c r="C477" s="61"/>
      <c r="D477" s="63">
        <v>45993</v>
      </c>
      <c r="E477" s="64">
        <v>0.4375</v>
      </c>
      <c r="F477" s="78" t="s">
        <v>88</v>
      </c>
    </row>
    <row r="478" spans="1:6" ht="13.5" customHeight="1" x14ac:dyDescent="0.3">
      <c r="A478" s="6" t="s">
        <v>35</v>
      </c>
      <c r="B478" s="39" t="s">
        <v>60</v>
      </c>
      <c r="C478" s="24"/>
      <c r="D478" s="31">
        <v>45993</v>
      </c>
      <c r="E478" s="35">
        <v>0.47916666666666669</v>
      </c>
    </row>
    <row r="479" spans="1:6" ht="13.5" customHeight="1" x14ac:dyDescent="0.3">
      <c r="A479" s="6" t="s">
        <v>35</v>
      </c>
      <c r="B479" s="39" t="s">
        <v>60</v>
      </c>
      <c r="C479" s="24"/>
      <c r="D479" s="31">
        <v>45993</v>
      </c>
      <c r="E479" s="35">
        <v>0.52083333333333337</v>
      </c>
    </row>
    <row r="480" spans="1:6" ht="13.5" customHeight="1" x14ac:dyDescent="0.3">
      <c r="A480" s="6" t="s">
        <v>68</v>
      </c>
      <c r="B480" s="39" t="s">
        <v>60</v>
      </c>
      <c r="C480" s="24"/>
      <c r="D480" s="31">
        <v>45994</v>
      </c>
      <c r="E480" s="35">
        <v>0.41666666666666669</v>
      </c>
    </row>
    <row r="481" spans="1:6" ht="13.5" customHeight="1" x14ac:dyDescent="0.3">
      <c r="A481" s="6" t="s">
        <v>68</v>
      </c>
      <c r="B481" s="39" t="s">
        <v>60</v>
      </c>
      <c r="C481" s="24"/>
      <c r="D481" s="31">
        <v>45994</v>
      </c>
      <c r="E481" s="35">
        <v>0.45833333333333331</v>
      </c>
    </row>
    <row r="482" spans="1:6" ht="13.5" customHeight="1" x14ac:dyDescent="0.3">
      <c r="A482" s="6" t="s">
        <v>38</v>
      </c>
      <c r="B482" s="43" t="s">
        <v>61</v>
      </c>
      <c r="C482" s="24"/>
      <c r="D482" s="31">
        <v>45994</v>
      </c>
      <c r="E482" s="35">
        <v>0.45833333333333331</v>
      </c>
    </row>
    <row r="483" spans="1:6" ht="13.5" customHeight="1" x14ac:dyDescent="0.3">
      <c r="A483" s="6" t="s">
        <v>38</v>
      </c>
      <c r="B483" s="43" t="s">
        <v>61</v>
      </c>
      <c r="C483" s="24"/>
      <c r="D483" s="31">
        <v>45994</v>
      </c>
      <c r="E483" s="35">
        <v>0.5</v>
      </c>
    </row>
    <row r="484" spans="1:6" ht="13.5" customHeight="1" x14ac:dyDescent="0.3">
      <c r="A484" s="6" t="s">
        <v>63</v>
      </c>
      <c r="B484" s="41" t="s">
        <v>65</v>
      </c>
      <c r="C484" s="24" t="s">
        <v>59</v>
      </c>
      <c r="D484" s="48">
        <v>45996</v>
      </c>
      <c r="E484" s="50">
        <v>0.66666666666666663</v>
      </c>
    </row>
    <row r="485" spans="1:6" ht="13.5" customHeight="1" x14ac:dyDescent="0.3">
      <c r="A485" s="6" t="s">
        <v>63</v>
      </c>
      <c r="B485" s="41" t="s">
        <v>65</v>
      </c>
      <c r="C485" s="24" t="s">
        <v>59</v>
      </c>
      <c r="D485" s="48">
        <v>45996</v>
      </c>
      <c r="E485" s="50">
        <v>0.70833333333333337</v>
      </c>
    </row>
    <row r="486" spans="1:6" ht="13.5" customHeight="1" x14ac:dyDescent="0.3">
      <c r="A486" s="6" t="s">
        <v>36</v>
      </c>
      <c r="B486" s="40" t="s">
        <v>64</v>
      </c>
      <c r="C486" s="24"/>
      <c r="D486" s="31">
        <v>45995</v>
      </c>
      <c r="E486" s="35">
        <v>0.41666666666666669</v>
      </c>
    </row>
    <row r="487" spans="1:6" ht="13.5" customHeight="1" x14ac:dyDescent="0.3">
      <c r="A487" s="6" t="s">
        <v>36</v>
      </c>
      <c r="B487" s="39" t="s">
        <v>60</v>
      </c>
      <c r="C487" s="24"/>
      <c r="D487" s="31">
        <v>45995</v>
      </c>
      <c r="E487" s="35">
        <v>0.45833333333333331</v>
      </c>
    </row>
    <row r="488" spans="1:6" ht="13.5" customHeight="1" x14ac:dyDescent="0.3">
      <c r="A488" s="6" t="s">
        <v>50</v>
      </c>
      <c r="B488" s="43" t="s">
        <v>61</v>
      </c>
      <c r="C488" s="24"/>
      <c r="D488" s="31">
        <v>45995</v>
      </c>
      <c r="E488" s="35">
        <v>0.45833333333333331</v>
      </c>
    </row>
    <row r="489" spans="1:6" ht="13.5" customHeight="1" x14ac:dyDescent="0.3">
      <c r="A489" s="6" t="s">
        <v>50</v>
      </c>
      <c r="B489" s="43" t="s">
        <v>61</v>
      </c>
      <c r="C489" s="24"/>
      <c r="D489" s="31">
        <v>45995</v>
      </c>
      <c r="E489" s="35">
        <v>0.5</v>
      </c>
    </row>
    <row r="490" spans="1:6" ht="13.5" customHeight="1" x14ac:dyDescent="0.3">
      <c r="A490" s="6" t="s">
        <v>41</v>
      </c>
      <c r="B490" s="39" t="s">
        <v>60</v>
      </c>
      <c r="C490" s="24"/>
      <c r="D490" s="31">
        <v>45996</v>
      </c>
      <c r="E490" s="35">
        <v>0.4375</v>
      </c>
    </row>
    <row r="491" spans="1:6" ht="13.5" customHeight="1" x14ac:dyDescent="0.3">
      <c r="A491" s="6" t="s">
        <v>41</v>
      </c>
      <c r="B491" s="39" t="s">
        <v>60</v>
      </c>
      <c r="C491" s="24"/>
      <c r="D491" s="31">
        <v>45996</v>
      </c>
      <c r="E491" s="35">
        <v>0.47916666666666669</v>
      </c>
    </row>
    <row r="492" spans="1:6" ht="14.25" customHeight="1" x14ac:dyDescent="0.3">
      <c r="A492" s="6" t="s">
        <v>42</v>
      </c>
      <c r="B492" s="39" t="s">
        <v>60</v>
      </c>
      <c r="C492" s="24" t="s">
        <v>73</v>
      </c>
      <c r="D492" s="31">
        <v>45996</v>
      </c>
      <c r="E492" s="35">
        <v>0.41666666666666669</v>
      </c>
    </row>
    <row r="493" spans="1:6" ht="13.5" customHeight="1" x14ac:dyDescent="0.3">
      <c r="A493" s="6" t="s">
        <v>42</v>
      </c>
      <c r="B493" s="39" t="s">
        <v>60</v>
      </c>
      <c r="C493" s="24" t="s">
        <v>73</v>
      </c>
      <c r="D493" s="31">
        <v>45996</v>
      </c>
      <c r="E493" s="35">
        <v>0.45833333333333331</v>
      </c>
    </row>
    <row r="494" spans="1:6" ht="13.5" customHeight="1" x14ac:dyDescent="0.3">
      <c r="A494" s="61" t="s">
        <v>39</v>
      </c>
      <c r="B494" s="62" t="s">
        <v>60</v>
      </c>
      <c r="C494" s="61" t="s">
        <v>58</v>
      </c>
      <c r="D494" s="63">
        <v>46000</v>
      </c>
      <c r="E494" s="64">
        <v>0.41666666666666669</v>
      </c>
      <c r="F494" s="74" t="s">
        <v>108</v>
      </c>
    </row>
    <row r="495" spans="1:6" ht="13.5" customHeight="1" x14ac:dyDescent="0.3">
      <c r="A495" s="61" t="s">
        <v>39</v>
      </c>
      <c r="B495" s="62" t="s">
        <v>60</v>
      </c>
      <c r="C495" s="61" t="s">
        <v>58</v>
      </c>
      <c r="D495" s="63">
        <v>46000</v>
      </c>
      <c r="E495" s="64">
        <v>0.45833333333333331</v>
      </c>
      <c r="F495" s="74" t="s">
        <v>108</v>
      </c>
    </row>
    <row r="496" spans="1:6" ht="13.5" customHeight="1" x14ac:dyDescent="0.3">
      <c r="A496" s="61" t="s">
        <v>39</v>
      </c>
      <c r="B496" s="62" t="s">
        <v>60</v>
      </c>
      <c r="C496" s="61" t="s">
        <v>58</v>
      </c>
      <c r="D496" s="63">
        <v>46000</v>
      </c>
      <c r="E496" s="64">
        <v>0.5</v>
      </c>
      <c r="F496" s="74" t="s">
        <v>108</v>
      </c>
    </row>
    <row r="497" spans="1:6" ht="13.5" customHeight="1" x14ac:dyDescent="0.3">
      <c r="A497" s="61" t="s">
        <v>37</v>
      </c>
      <c r="B497" s="62" t="s">
        <v>60</v>
      </c>
      <c r="C497" s="61" t="s">
        <v>58</v>
      </c>
      <c r="D497" s="63">
        <v>46001</v>
      </c>
      <c r="E497" s="64">
        <v>0.4375</v>
      </c>
      <c r="F497" s="74" t="s">
        <v>108</v>
      </c>
    </row>
    <row r="498" spans="1:6" ht="13.5" customHeight="1" x14ac:dyDescent="0.3">
      <c r="A498" s="61" t="s">
        <v>37</v>
      </c>
      <c r="B498" s="62" t="s">
        <v>60</v>
      </c>
      <c r="C498" s="61" t="s">
        <v>58</v>
      </c>
      <c r="D498" s="63">
        <v>46001</v>
      </c>
      <c r="E498" s="64">
        <v>0.47916666666666669</v>
      </c>
      <c r="F498" s="74" t="s">
        <v>108</v>
      </c>
    </row>
    <row r="499" spans="1:6" ht="13.5" customHeight="1" x14ac:dyDescent="0.3">
      <c r="A499" s="61" t="s">
        <v>37</v>
      </c>
      <c r="B499" s="62" t="s">
        <v>60</v>
      </c>
      <c r="C499" s="61" t="s">
        <v>58</v>
      </c>
      <c r="D499" s="63">
        <v>46001</v>
      </c>
      <c r="E499" s="64">
        <v>0.52083333333333337</v>
      </c>
      <c r="F499" s="74" t="s">
        <v>108</v>
      </c>
    </row>
    <row r="500" spans="1:6" ht="13.5" customHeight="1" x14ac:dyDescent="0.3">
      <c r="A500" s="6" t="s">
        <v>51</v>
      </c>
      <c r="B500" s="43" t="s">
        <v>61</v>
      </c>
      <c r="C500" s="24"/>
      <c r="D500" s="31">
        <v>46007</v>
      </c>
      <c r="E500" s="35">
        <v>0.41666666666666669</v>
      </c>
    </row>
    <row r="501" spans="1:6" ht="13.5" customHeight="1" x14ac:dyDescent="0.3">
      <c r="A501" s="6" t="s">
        <v>51</v>
      </c>
      <c r="B501" s="43" t="s">
        <v>61</v>
      </c>
      <c r="C501" s="24"/>
      <c r="D501" s="31">
        <v>46007</v>
      </c>
      <c r="E501" s="35">
        <v>0.45833333333333331</v>
      </c>
    </row>
    <row r="502" spans="1:6" ht="13.5" customHeight="1" x14ac:dyDescent="0.3">
      <c r="A502" s="6" t="s">
        <v>68</v>
      </c>
      <c r="B502" s="39" t="s">
        <v>60</v>
      </c>
      <c r="C502" s="24"/>
      <c r="D502" s="31">
        <v>46008</v>
      </c>
      <c r="E502" s="35">
        <v>0.41666666666666669</v>
      </c>
    </row>
    <row r="503" spans="1:6" ht="13.5" customHeight="1" x14ac:dyDescent="0.3">
      <c r="A503" s="6" t="s">
        <v>68</v>
      </c>
      <c r="B503" s="39" t="s">
        <v>60</v>
      </c>
      <c r="C503" s="24"/>
      <c r="D503" s="31">
        <v>46008</v>
      </c>
      <c r="E503" s="35">
        <v>0.45833333333333331</v>
      </c>
    </row>
    <row r="504" spans="1:6" ht="13.5" customHeight="1" x14ac:dyDescent="0.3">
      <c r="A504" s="6" t="s">
        <v>38</v>
      </c>
      <c r="B504" s="43" t="s">
        <v>61</v>
      </c>
      <c r="C504" s="24"/>
      <c r="D504" s="31">
        <v>46008</v>
      </c>
      <c r="E504" s="35">
        <v>0.45833333333333331</v>
      </c>
    </row>
    <row r="505" spans="1:6" ht="13.5" customHeight="1" x14ac:dyDescent="0.3">
      <c r="A505" s="6" t="s">
        <v>38</v>
      </c>
      <c r="B505" s="43" t="s">
        <v>61</v>
      </c>
      <c r="C505" s="24"/>
      <c r="D505" s="31">
        <v>46008</v>
      </c>
      <c r="E505" s="35">
        <v>0.5</v>
      </c>
    </row>
    <row r="506" spans="1:6" ht="13.5" customHeight="1" x14ac:dyDescent="0.3">
      <c r="A506" s="6" t="s">
        <v>36</v>
      </c>
      <c r="B506" s="40" t="s">
        <v>64</v>
      </c>
      <c r="C506" s="24"/>
      <c r="D506" s="31">
        <v>46009</v>
      </c>
      <c r="E506" s="35">
        <v>0.41666666666666669</v>
      </c>
    </row>
    <row r="507" spans="1:6" ht="13.5" customHeight="1" x14ac:dyDescent="0.3">
      <c r="A507" s="6" t="s">
        <v>36</v>
      </c>
      <c r="B507" s="39" t="s">
        <v>60</v>
      </c>
      <c r="C507" s="24"/>
      <c r="D507" s="31">
        <v>46009</v>
      </c>
      <c r="E507" s="35">
        <v>0.45833333333333331</v>
      </c>
    </row>
    <row r="508" spans="1:6" ht="13.5" customHeight="1" x14ac:dyDescent="0.3">
      <c r="A508" s="6" t="s">
        <v>50</v>
      </c>
      <c r="B508" s="49" t="s">
        <v>7</v>
      </c>
      <c r="C508" s="24"/>
      <c r="D508" s="31">
        <v>46009</v>
      </c>
      <c r="E508" s="35">
        <v>0.45833333333333331</v>
      </c>
      <c r="F508" s="78" t="s">
        <v>114</v>
      </c>
    </row>
    <row r="509" spans="1:6" ht="13.5" customHeight="1" x14ac:dyDescent="0.3">
      <c r="A509" s="6" t="s">
        <v>50</v>
      </c>
      <c r="B509" s="43" t="s">
        <v>61</v>
      </c>
      <c r="C509" s="24"/>
      <c r="D509" s="31">
        <v>46009</v>
      </c>
      <c r="E509" s="35">
        <v>0.5</v>
      </c>
    </row>
    <row r="510" spans="1:6" ht="13.5" customHeight="1" x14ac:dyDescent="0.3">
      <c r="A510" s="6" t="s">
        <v>41</v>
      </c>
      <c r="B510" s="39" t="s">
        <v>60</v>
      </c>
      <c r="C510" s="24"/>
      <c r="D510" s="31">
        <v>46010</v>
      </c>
      <c r="E510" s="35">
        <v>0.4375</v>
      </c>
    </row>
    <row r="511" spans="1:6" ht="13.5" customHeight="1" x14ac:dyDescent="0.3">
      <c r="A511" s="6" t="s">
        <v>41</v>
      </c>
      <c r="B511" s="39" t="s">
        <v>60</v>
      </c>
      <c r="C511" s="24"/>
      <c r="D511" s="31">
        <v>46010</v>
      </c>
      <c r="E511" s="35">
        <v>0.47916666666666669</v>
      </c>
    </row>
    <row r="512" spans="1:6" ht="13.5" customHeight="1" x14ac:dyDescent="0.3">
      <c r="A512" s="6" t="s">
        <v>42</v>
      </c>
      <c r="B512" s="39" t="s">
        <v>60</v>
      </c>
      <c r="C512" s="24" t="s">
        <v>73</v>
      </c>
      <c r="D512" s="31">
        <v>46010</v>
      </c>
      <c r="E512" s="35">
        <v>0.41666666666666669</v>
      </c>
    </row>
    <row r="513" spans="1:6" ht="13.5" customHeight="1" x14ac:dyDescent="0.3">
      <c r="A513" s="6" t="s">
        <v>42</v>
      </c>
      <c r="B513" s="39" t="s">
        <v>60</v>
      </c>
      <c r="C513" s="24" t="s">
        <v>73</v>
      </c>
      <c r="D513" s="31">
        <v>46010</v>
      </c>
      <c r="E513" s="35">
        <v>0.45833333333333331</v>
      </c>
    </row>
    <row r="514" spans="1:6" ht="13.5" customHeight="1" x14ac:dyDescent="0.3">
      <c r="A514" s="61" t="s">
        <v>63</v>
      </c>
      <c r="B514" s="62" t="s">
        <v>65</v>
      </c>
      <c r="C514" s="61" t="s">
        <v>58</v>
      </c>
      <c r="D514" s="63">
        <v>46044</v>
      </c>
      <c r="E514" s="64">
        <v>0.375</v>
      </c>
      <c r="F514" s="1" t="s">
        <v>88</v>
      </c>
    </row>
    <row r="515" spans="1:6" ht="13.5" customHeight="1" x14ac:dyDescent="0.3">
      <c r="A515" s="6" t="s">
        <v>32</v>
      </c>
      <c r="B515" s="59" t="s">
        <v>61</v>
      </c>
      <c r="C515" s="24"/>
      <c r="D515" s="31">
        <v>46013</v>
      </c>
      <c r="E515" s="35">
        <v>0.41666666666666669</v>
      </c>
      <c r="F515" s="1" t="s">
        <v>113</v>
      </c>
    </row>
    <row r="516" spans="1:6" ht="13.5" customHeight="1" x14ac:dyDescent="0.3">
      <c r="A516" s="6" t="s">
        <v>32</v>
      </c>
      <c r="B516" s="59" t="s">
        <v>61</v>
      </c>
      <c r="C516" s="24"/>
      <c r="D516" s="31">
        <v>46013</v>
      </c>
      <c r="E516" s="35">
        <v>0.45833333333333331</v>
      </c>
      <c r="F516" s="1" t="s">
        <v>113</v>
      </c>
    </row>
    <row r="517" spans="1:6" ht="13.5" customHeight="1" x14ac:dyDescent="0.3">
      <c r="A517" s="6" t="s">
        <v>34</v>
      </c>
      <c r="B517" s="39" t="s">
        <v>60</v>
      </c>
      <c r="C517" s="24" t="s">
        <v>59</v>
      </c>
      <c r="D517" s="31">
        <v>46013</v>
      </c>
      <c r="E517" s="35">
        <v>0.54166666666666663</v>
      </c>
    </row>
    <row r="518" spans="1:6" ht="13.5" customHeight="1" x14ac:dyDescent="0.3">
      <c r="A518" s="6" t="s">
        <v>34</v>
      </c>
      <c r="B518" s="39" t="s">
        <v>60</v>
      </c>
      <c r="C518" s="24" t="s">
        <v>59</v>
      </c>
      <c r="D518" s="31">
        <v>46013</v>
      </c>
      <c r="E518" s="35">
        <v>0.58333333333333337</v>
      </c>
    </row>
    <row r="519" spans="1:6" ht="13.5" customHeight="1" x14ac:dyDescent="0.3">
      <c r="A519" s="6" t="s">
        <v>51</v>
      </c>
      <c r="B519" s="43" t="s">
        <v>61</v>
      </c>
      <c r="C519" s="24"/>
      <c r="D519" s="31">
        <v>46014</v>
      </c>
      <c r="E519" s="35">
        <v>0.41666666666666669</v>
      </c>
    </row>
    <row r="520" spans="1:6" ht="13.5" customHeight="1" x14ac:dyDescent="0.3">
      <c r="A520" s="6" t="s">
        <v>51</v>
      </c>
      <c r="B520" s="43" t="s">
        <v>61</v>
      </c>
      <c r="C520" s="24"/>
      <c r="D520" s="31">
        <v>46014</v>
      </c>
      <c r="E520" s="35">
        <v>0.45833333333333331</v>
      </c>
    </row>
    <row r="521" spans="1:6" ht="13.5" customHeight="1" x14ac:dyDescent="0.3">
      <c r="A521" s="6" t="s">
        <v>39</v>
      </c>
      <c r="B521" s="40" t="s">
        <v>64</v>
      </c>
      <c r="C521" s="24" t="s">
        <v>73</v>
      </c>
      <c r="D521" s="48">
        <v>46010</v>
      </c>
      <c r="E521" s="35">
        <v>0.41666666666666669</v>
      </c>
    </row>
    <row r="522" spans="1:6" ht="13.5" customHeight="1" x14ac:dyDescent="0.3">
      <c r="A522" s="6" t="s">
        <v>39</v>
      </c>
      <c r="B522" s="39" t="s">
        <v>60</v>
      </c>
      <c r="C522" s="24" t="s">
        <v>73</v>
      </c>
      <c r="D522" s="48">
        <v>46010</v>
      </c>
      <c r="E522" s="35">
        <v>0.45833333333333331</v>
      </c>
    </row>
    <row r="523" spans="1:6" ht="13.5" customHeight="1" x14ac:dyDescent="0.3">
      <c r="A523" s="6" t="s">
        <v>35</v>
      </c>
      <c r="B523" s="39" t="s">
        <v>60</v>
      </c>
      <c r="C523" s="24"/>
      <c r="D523" s="31">
        <v>46014</v>
      </c>
      <c r="E523" s="35">
        <v>0.47916666666666669</v>
      </c>
    </row>
    <row r="524" spans="1:6" ht="13.5" customHeight="1" x14ac:dyDescent="0.3">
      <c r="A524" s="6" t="s">
        <v>35</v>
      </c>
      <c r="B524" s="39" t="s">
        <v>60</v>
      </c>
      <c r="C524" s="24"/>
      <c r="D524" s="31">
        <v>46014</v>
      </c>
      <c r="E524" s="35">
        <v>0.52083333333333337</v>
      </c>
    </row>
    <row r="525" spans="1:6" ht="13.5" customHeight="1" x14ac:dyDescent="0.3">
      <c r="A525" s="6" t="s">
        <v>41</v>
      </c>
      <c r="B525" s="39" t="s">
        <v>60</v>
      </c>
      <c r="C525" s="24"/>
      <c r="D525" s="31">
        <v>46017</v>
      </c>
      <c r="E525" s="35">
        <v>0.4375</v>
      </c>
    </row>
    <row r="526" spans="1:6" ht="13.5" customHeight="1" x14ac:dyDescent="0.3">
      <c r="A526" s="6" t="s">
        <v>41</v>
      </c>
      <c r="B526" s="39" t="s">
        <v>60</v>
      </c>
      <c r="C526" s="24"/>
      <c r="D526" s="31">
        <v>46017</v>
      </c>
      <c r="E526" s="35">
        <v>0.47916666666666669</v>
      </c>
    </row>
    <row r="527" spans="1:6" ht="13.5" customHeight="1" x14ac:dyDescent="0.3">
      <c r="A527" s="6" t="s">
        <v>42</v>
      </c>
      <c r="B527" s="39" t="s">
        <v>60</v>
      </c>
      <c r="C527" s="24" t="s">
        <v>73</v>
      </c>
      <c r="D527" s="31">
        <v>46017</v>
      </c>
      <c r="E527" s="35">
        <v>0.41666666666666669</v>
      </c>
    </row>
    <row r="528" spans="1:6" ht="13.5" customHeight="1" x14ac:dyDescent="0.3">
      <c r="A528" s="6" t="s">
        <v>42</v>
      </c>
      <c r="B528" s="39" t="s">
        <v>60</v>
      </c>
      <c r="C528" s="24" t="s">
        <v>73</v>
      </c>
      <c r="D528" s="31">
        <v>46017</v>
      </c>
      <c r="E528" s="35">
        <v>0.45833333333333331</v>
      </c>
    </row>
    <row r="529" spans="1:5" ht="13.5" customHeight="1" x14ac:dyDescent="0.3">
      <c r="A529" s="14" t="s">
        <v>31</v>
      </c>
      <c r="B529" s="49" t="s">
        <v>65</v>
      </c>
      <c r="C529" s="14"/>
      <c r="D529" s="48">
        <v>46382</v>
      </c>
      <c r="E529" s="50">
        <v>0.4375</v>
      </c>
    </row>
    <row r="530" spans="1:5" ht="13.5" customHeight="1" x14ac:dyDescent="0.3">
      <c r="A530" s="14" t="s">
        <v>31</v>
      </c>
      <c r="B530" s="49" t="s">
        <v>65</v>
      </c>
      <c r="C530" s="14"/>
      <c r="D530" s="48">
        <v>46382</v>
      </c>
      <c r="E530" s="50">
        <v>0.47916666666666669</v>
      </c>
    </row>
    <row r="531" spans="1:5" ht="13.5" customHeight="1" x14ac:dyDescent="0.3">
      <c r="A531" s="6" t="s">
        <v>37</v>
      </c>
      <c r="B531" s="43" t="s">
        <v>61</v>
      </c>
      <c r="C531" s="24" t="s">
        <v>73</v>
      </c>
      <c r="D531" s="31">
        <v>46027</v>
      </c>
      <c r="E531" s="35">
        <v>0.4375</v>
      </c>
    </row>
    <row r="532" spans="1:5" ht="13.5" customHeight="1" x14ac:dyDescent="0.3">
      <c r="A532" s="6" t="s">
        <v>37</v>
      </c>
      <c r="B532" s="43" t="s">
        <v>61</v>
      </c>
      <c r="C532" s="24" t="s">
        <v>73</v>
      </c>
      <c r="D532" s="31">
        <v>46027</v>
      </c>
      <c r="E532" s="35">
        <v>0.47916666666666669</v>
      </c>
    </row>
    <row r="533" spans="1:5" ht="13.5" customHeight="1" x14ac:dyDescent="0.3">
      <c r="A533" s="6" t="s">
        <v>39</v>
      </c>
      <c r="B533" s="40" t="s">
        <v>64</v>
      </c>
      <c r="C533" s="24" t="s">
        <v>73</v>
      </c>
      <c r="D533" s="31">
        <v>46028</v>
      </c>
      <c r="E533" s="35">
        <v>0.41666666666666669</v>
      </c>
    </row>
    <row r="534" spans="1:5" ht="13.5" customHeight="1" x14ac:dyDescent="0.3">
      <c r="A534" s="6" t="s">
        <v>39</v>
      </c>
      <c r="B534" s="39" t="s">
        <v>60</v>
      </c>
      <c r="C534" s="24" t="s">
        <v>73</v>
      </c>
      <c r="D534" s="31">
        <v>46028</v>
      </c>
      <c r="E534" s="35">
        <v>0.45833333333333331</v>
      </c>
    </row>
    <row r="535" spans="1:5" ht="13.5" customHeight="1" x14ac:dyDescent="0.3">
      <c r="A535" s="6" t="s">
        <v>38</v>
      </c>
      <c r="B535" s="43" t="s">
        <v>61</v>
      </c>
      <c r="C535" s="24"/>
      <c r="D535" s="31">
        <v>46029</v>
      </c>
      <c r="E535" s="35">
        <v>0.45833333333333331</v>
      </c>
    </row>
    <row r="536" spans="1:5" ht="13.5" customHeight="1" x14ac:dyDescent="0.3">
      <c r="A536" s="6" t="s">
        <v>38</v>
      </c>
      <c r="B536" s="43" t="s">
        <v>61</v>
      </c>
      <c r="C536" s="24"/>
      <c r="D536" s="31">
        <v>46029</v>
      </c>
      <c r="E536" s="35">
        <v>0.5</v>
      </c>
    </row>
    <row r="537" spans="1:5" ht="13.5" customHeight="1" x14ac:dyDescent="0.3">
      <c r="A537" s="6" t="s">
        <v>50</v>
      </c>
      <c r="B537" s="43" t="s">
        <v>61</v>
      </c>
      <c r="C537" s="24"/>
      <c r="D537" s="31">
        <v>46030</v>
      </c>
      <c r="E537" s="35">
        <v>0.45833333333333331</v>
      </c>
    </row>
    <row r="538" spans="1:5" ht="13.5" customHeight="1" x14ac:dyDescent="0.3">
      <c r="A538" s="6" t="s">
        <v>50</v>
      </c>
      <c r="B538" s="43" t="s">
        <v>61</v>
      </c>
      <c r="C538" s="24"/>
      <c r="D538" s="31">
        <v>46030</v>
      </c>
      <c r="E538" s="35">
        <v>0.5</v>
      </c>
    </row>
    <row r="539" spans="1:5" ht="13.5" customHeight="1" x14ac:dyDescent="0.3">
      <c r="A539" s="6" t="s">
        <v>42</v>
      </c>
      <c r="B539" s="39" t="s">
        <v>60</v>
      </c>
      <c r="C539" s="24" t="s">
        <v>73</v>
      </c>
      <c r="D539" s="31">
        <v>46031</v>
      </c>
      <c r="E539" s="35">
        <v>0.41666666666666669</v>
      </c>
    </row>
    <row r="540" spans="1:5" ht="13.5" customHeight="1" x14ac:dyDescent="0.3">
      <c r="A540" s="6" t="s">
        <v>42</v>
      </c>
      <c r="B540" s="39" t="s">
        <v>60</v>
      </c>
      <c r="C540" s="24" t="s">
        <v>73</v>
      </c>
      <c r="D540" s="31">
        <v>46031</v>
      </c>
      <c r="E540" s="35">
        <v>0.45833333333333331</v>
      </c>
    </row>
    <row r="541" spans="1:5" ht="13.5" customHeight="1" x14ac:dyDescent="0.3">
      <c r="A541" s="6" t="s">
        <v>54</v>
      </c>
      <c r="B541" s="41" t="s">
        <v>65</v>
      </c>
      <c r="C541" s="24"/>
      <c r="D541" s="31">
        <v>46031</v>
      </c>
      <c r="E541" s="35">
        <v>0.4375</v>
      </c>
    </row>
    <row r="542" spans="1:5" ht="13.5" customHeight="1" x14ac:dyDescent="0.3">
      <c r="A542" s="6" t="s">
        <v>54</v>
      </c>
      <c r="B542" s="41" t="s">
        <v>65</v>
      </c>
      <c r="C542" s="24"/>
      <c r="D542" s="31">
        <v>46031</v>
      </c>
      <c r="E542" s="35">
        <v>0.47916666666666669</v>
      </c>
    </row>
    <row r="543" spans="1:5" ht="13.5" customHeight="1" x14ac:dyDescent="0.3">
      <c r="A543" s="6" t="s">
        <v>32</v>
      </c>
      <c r="B543" s="38" t="s">
        <v>62</v>
      </c>
      <c r="C543" s="24"/>
      <c r="D543" s="31">
        <v>46034</v>
      </c>
      <c r="E543" s="35">
        <v>0.45833333333333331</v>
      </c>
    </row>
    <row r="544" spans="1:5" ht="13.5" customHeight="1" x14ac:dyDescent="0.3">
      <c r="A544" s="6" t="s">
        <v>32</v>
      </c>
      <c r="B544" s="38" t="s">
        <v>62</v>
      </c>
      <c r="C544" s="24"/>
      <c r="D544" s="31">
        <v>46034</v>
      </c>
      <c r="E544" s="35">
        <v>0.5</v>
      </c>
    </row>
    <row r="545" spans="1:5" ht="13.5" customHeight="1" x14ac:dyDescent="0.3">
      <c r="A545" s="6" t="s">
        <v>51</v>
      </c>
      <c r="B545" s="43" t="s">
        <v>61</v>
      </c>
      <c r="C545" s="24"/>
      <c r="D545" s="31">
        <v>46035</v>
      </c>
      <c r="E545" s="35">
        <v>0.41666666666666669</v>
      </c>
    </row>
    <row r="546" spans="1:5" ht="13.5" customHeight="1" x14ac:dyDescent="0.3">
      <c r="A546" s="6" t="s">
        <v>51</v>
      </c>
      <c r="B546" s="43" t="s">
        <v>61</v>
      </c>
      <c r="C546" s="24"/>
      <c r="D546" s="31">
        <v>46035</v>
      </c>
      <c r="E546" s="35">
        <v>0.45833333333333331</v>
      </c>
    </row>
    <row r="547" spans="1:5" ht="13.5" customHeight="1" x14ac:dyDescent="0.3">
      <c r="A547" s="6" t="s">
        <v>35</v>
      </c>
      <c r="B547" s="43" t="s">
        <v>61</v>
      </c>
      <c r="C547" s="24"/>
      <c r="D547" s="31">
        <v>46035</v>
      </c>
      <c r="E547" s="35">
        <v>0.47916666666666669</v>
      </c>
    </row>
    <row r="548" spans="1:5" ht="13.5" customHeight="1" x14ac:dyDescent="0.3">
      <c r="A548" s="6" t="s">
        <v>35</v>
      </c>
      <c r="B548" s="43" t="s">
        <v>61</v>
      </c>
      <c r="C548" s="24"/>
      <c r="D548" s="31">
        <v>46035</v>
      </c>
      <c r="E548" s="35">
        <v>0.52083333333333337</v>
      </c>
    </row>
    <row r="549" spans="1:5" ht="13.5" customHeight="1" x14ac:dyDescent="0.3">
      <c r="A549" s="6" t="s">
        <v>68</v>
      </c>
      <c r="B549" s="43" t="s">
        <v>61</v>
      </c>
      <c r="C549" s="24"/>
      <c r="D549" s="31">
        <v>46036</v>
      </c>
      <c r="E549" s="35">
        <v>0.41666666666666669</v>
      </c>
    </row>
    <row r="550" spans="1:5" ht="13.5" customHeight="1" x14ac:dyDescent="0.3">
      <c r="A550" s="6" t="s">
        <v>68</v>
      </c>
      <c r="B550" s="43" t="s">
        <v>61</v>
      </c>
      <c r="C550" s="24"/>
      <c r="D550" s="31">
        <v>46036</v>
      </c>
      <c r="E550" s="35">
        <v>0.45833333333333331</v>
      </c>
    </row>
    <row r="551" spans="1:5" ht="13.5" customHeight="1" x14ac:dyDescent="0.3">
      <c r="A551" s="6" t="s">
        <v>63</v>
      </c>
      <c r="B551" s="41" t="s">
        <v>65</v>
      </c>
      <c r="C551" s="24" t="s">
        <v>59</v>
      </c>
      <c r="D551" s="31">
        <v>46036</v>
      </c>
      <c r="E551" s="50">
        <v>0.66666666666666663</v>
      </c>
    </row>
    <row r="552" spans="1:5" ht="13.5" customHeight="1" x14ac:dyDescent="0.3">
      <c r="A552" s="6" t="s">
        <v>63</v>
      </c>
      <c r="B552" s="41" t="s">
        <v>65</v>
      </c>
      <c r="C552" s="24" t="s">
        <v>59</v>
      </c>
      <c r="D552" s="31">
        <v>46036</v>
      </c>
      <c r="E552" s="50">
        <v>0.70833333333333337</v>
      </c>
    </row>
    <row r="553" spans="1:5" ht="13.5" customHeight="1" x14ac:dyDescent="0.3">
      <c r="A553" s="6" t="s">
        <v>36</v>
      </c>
      <c r="B553" s="40" t="s">
        <v>64</v>
      </c>
      <c r="C553" s="24"/>
      <c r="D553" s="31">
        <v>46037</v>
      </c>
      <c r="E553" s="35">
        <v>0.41666666666666669</v>
      </c>
    </row>
    <row r="554" spans="1:5" ht="13.5" customHeight="1" x14ac:dyDescent="0.3">
      <c r="A554" s="6" t="s">
        <v>36</v>
      </c>
      <c r="B554" s="39" t="s">
        <v>60</v>
      </c>
      <c r="C554" s="24"/>
      <c r="D554" s="31">
        <v>46037</v>
      </c>
      <c r="E554" s="35">
        <v>0.45833333333333331</v>
      </c>
    </row>
    <row r="555" spans="1:5" ht="13.5" customHeight="1" x14ac:dyDescent="0.3">
      <c r="A555" s="6" t="s">
        <v>41</v>
      </c>
      <c r="B555" s="39" t="s">
        <v>60</v>
      </c>
      <c r="C555" s="24"/>
      <c r="D555" s="31">
        <v>46038</v>
      </c>
      <c r="E555" s="35">
        <v>0.4375</v>
      </c>
    </row>
    <row r="556" spans="1:5" ht="13.5" customHeight="1" x14ac:dyDescent="0.3">
      <c r="A556" s="6" t="s">
        <v>41</v>
      </c>
      <c r="B556" s="39" t="s">
        <v>60</v>
      </c>
      <c r="C556" s="24"/>
      <c r="D556" s="31">
        <v>46038</v>
      </c>
      <c r="E556" s="35">
        <v>0.47916666666666669</v>
      </c>
    </row>
    <row r="557" spans="1:5" ht="13.5" customHeight="1" x14ac:dyDescent="0.3">
      <c r="A557" s="6" t="s">
        <v>37</v>
      </c>
      <c r="B557" s="43" t="s">
        <v>61</v>
      </c>
      <c r="C557" s="24" t="s">
        <v>73</v>
      </c>
      <c r="D557" s="31">
        <v>46041</v>
      </c>
      <c r="E557" s="35">
        <v>0.4375</v>
      </c>
    </row>
    <row r="558" spans="1:5" ht="13.5" customHeight="1" x14ac:dyDescent="0.3">
      <c r="A558" s="6" t="s">
        <v>37</v>
      </c>
      <c r="B558" s="43" t="s">
        <v>61</v>
      </c>
      <c r="C558" s="24" t="s">
        <v>73</v>
      </c>
      <c r="D558" s="31">
        <v>46041</v>
      </c>
      <c r="E558" s="35">
        <v>0.47916666666666669</v>
      </c>
    </row>
    <row r="559" spans="1:5" ht="13.5" customHeight="1" x14ac:dyDescent="0.3">
      <c r="A559" s="6" t="s">
        <v>39</v>
      </c>
      <c r="B559" s="40" t="s">
        <v>64</v>
      </c>
      <c r="C559" s="24" t="s">
        <v>73</v>
      </c>
      <c r="D559" s="31">
        <v>46042</v>
      </c>
      <c r="E559" s="35">
        <v>0.41666666666666669</v>
      </c>
    </row>
    <row r="560" spans="1:5" ht="13.5" customHeight="1" x14ac:dyDescent="0.3">
      <c r="A560" s="6" t="s">
        <v>39</v>
      </c>
      <c r="B560" s="39" t="s">
        <v>60</v>
      </c>
      <c r="C560" s="24" t="s">
        <v>73</v>
      </c>
      <c r="D560" s="31">
        <v>46042</v>
      </c>
      <c r="E560" s="35">
        <v>0.45833333333333331</v>
      </c>
    </row>
    <row r="561" spans="1:5" ht="13.5" customHeight="1" x14ac:dyDescent="0.3">
      <c r="A561" s="6" t="s">
        <v>38</v>
      </c>
      <c r="B561" s="43" t="s">
        <v>61</v>
      </c>
      <c r="C561" s="24"/>
      <c r="D561" s="31">
        <v>46043</v>
      </c>
      <c r="E561" s="35">
        <v>0.45833333333333331</v>
      </c>
    </row>
    <row r="562" spans="1:5" ht="13.5" customHeight="1" x14ac:dyDescent="0.3">
      <c r="A562" s="6" t="s">
        <v>38</v>
      </c>
      <c r="B562" s="43" t="s">
        <v>61</v>
      </c>
      <c r="C562" s="24"/>
      <c r="D562" s="31">
        <v>46043</v>
      </c>
      <c r="E562" s="35">
        <v>0.5</v>
      </c>
    </row>
    <row r="563" spans="1:5" ht="13.5" customHeight="1" x14ac:dyDescent="0.3">
      <c r="A563" s="6" t="s">
        <v>50</v>
      </c>
      <c r="B563" s="43" t="s">
        <v>61</v>
      </c>
      <c r="C563" s="24"/>
      <c r="D563" s="31">
        <v>46044</v>
      </c>
      <c r="E563" s="35">
        <v>0.45833333333333331</v>
      </c>
    </row>
    <row r="564" spans="1:5" ht="13.5" customHeight="1" x14ac:dyDescent="0.3">
      <c r="A564" s="6" t="s">
        <v>50</v>
      </c>
      <c r="B564" s="43" t="s">
        <v>61</v>
      </c>
      <c r="C564" s="24"/>
      <c r="D564" s="31">
        <v>46044</v>
      </c>
      <c r="E564" s="35">
        <v>0.5</v>
      </c>
    </row>
    <row r="565" spans="1:5" ht="13.5" customHeight="1" x14ac:dyDescent="0.3">
      <c r="A565" s="6" t="s">
        <v>42</v>
      </c>
      <c r="B565" s="39" t="s">
        <v>60</v>
      </c>
      <c r="C565" s="24" t="s">
        <v>73</v>
      </c>
      <c r="D565" s="31">
        <v>46045</v>
      </c>
      <c r="E565" s="35">
        <v>0.41666666666666669</v>
      </c>
    </row>
    <row r="566" spans="1:5" ht="13.5" customHeight="1" x14ac:dyDescent="0.3">
      <c r="A566" s="6" t="s">
        <v>42</v>
      </c>
      <c r="B566" s="39" t="s">
        <v>60</v>
      </c>
      <c r="C566" s="24" t="s">
        <v>73</v>
      </c>
      <c r="D566" s="31">
        <v>46045</v>
      </c>
      <c r="E566" s="35">
        <v>0.45833333333333331</v>
      </c>
    </row>
    <row r="567" spans="1:5" ht="13.5" customHeight="1" x14ac:dyDescent="0.3">
      <c r="A567" s="6" t="s">
        <v>54</v>
      </c>
      <c r="B567" s="41" t="s">
        <v>65</v>
      </c>
      <c r="C567" s="24"/>
      <c r="D567" s="31">
        <v>46045</v>
      </c>
      <c r="E567" s="35">
        <v>0.4375</v>
      </c>
    </row>
    <row r="568" spans="1:5" ht="13.5" customHeight="1" x14ac:dyDescent="0.3">
      <c r="A568" s="6" t="s">
        <v>54</v>
      </c>
      <c r="B568" s="41" t="s">
        <v>65</v>
      </c>
      <c r="C568" s="24"/>
      <c r="D568" s="31">
        <v>46045</v>
      </c>
      <c r="E568" s="35">
        <v>0.47916666666666669</v>
      </c>
    </row>
    <row r="569" spans="1:5" ht="13.5" customHeight="1" x14ac:dyDescent="0.3">
      <c r="A569" s="6" t="s">
        <v>34</v>
      </c>
      <c r="B569" s="39" t="s">
        <v>60</v>
      </c>
      <c r="C569" s="24" t="s">
        <v>59</v>
      </c>
      <c r="D569" s="31">
        <v>46048</v>
      </c>
      <c r="E569" s="35">
        <v>0.54166666666666663</v>
      </c>
    </row>
    <row r="570" spans="1:5" ht="13.5" customHeight="1" x14ac:dyDescent="0.3">
      <c r="A570" s="6" t="s">
        <v>34</v>
      </c>
      <c r="B570" s="39" t="s">
        <v>60</v>
      </c>
      <c r="C570" s="24" t="s">
        <v>59</v>
      </c>
      <c r="D570" s="31">
        <v>46048</v>
      </c>
      <c r="E570" s="35">
        <v>0.58333333333333337</v>
      </c>
    </row>
    <row r="571" spans="1:5" ht="13.5" customHeight="1" x14ac:dyDescent="0.3">
      <c r="A571" s="6" t="s">
        <v>51</v>
      </c>
      <c r="B571" s="43" t="s">
        <v>61</v>
      </c>
      <c r="C571" s="24"/>
      <c r="D571" s="31">
        <v>46049</v>
      </c>
      <c r="E571" s="35">
        <v>0.41666666666666669</v>
      </c>
    </row>
    <row r="572" spans="1:5" ht="13.5" customHeight="1" x14ac:dyDescent="0.3">
      <c r="A572" s="6" t="s">
        <v>51</v>
      </c>
      <c r="B572" s="43" t="s">
        <v>61</v>
      </c>
      <c r="C572" s="24"/>
      <c r="D572" s="31">
        <v>46049</v>
      </c>
      <c r="E572" s="35">
        <v>0.45833333333333331</v>
      </c>
    </row>
    <row r="573" spans="1:5" ht="13.5" customHeight="1" x14ac:dyDescent="0.3">
      <c r="A573" s="6" t="s">
        <v>68</v>
      </c>
      <c r="B573" s="43" t="s">
        <v>61</v>
      </c>
      <c r="C573" s="24"/>
      <c r="D573" s="31">
        <v>46050</v>
      </c>
      <c r="E573" s="35">
        <v>0.41666666666666669</v>
      </c>
    </row>
    <row r="574" spans="1:5" ht="13.5" customHeight="1" x14ac:dyDescent="0.3">
      <c r="A574" s="6" t="s">
        <v>68</v>
      </c>
      <c r="B574" s="43" t="s">
        <v>61</v>
      </c>
      <c r="C574" s="24"/>
      <c r="D574" s="31">
        <v>46050</v>
      </c>
      <c r="E574" s="35">
        <v>0.45833333333333331</v>
      </c>
    </row>
    <row r="575" spans="1:5" ht="13.5" customHeight="1" x14ac:dyDescent="0.3">
      <c r="A575" s="6" t="s">
        <v>63</v>
      </c>
      <c r="B575" s="41" t="s">
        <v>65</v>
      </c>
      <c r="C575" s="24" t="s">
        <v>59</v>
      </c>
      <c r="D575" s="31">
        <v>46050</v>
      </c>
      <c r="E575" s="50">
        <v>0.66666666666666663</v>
      </c>
    </row>
    <row r="576" spans="1:5" ht="13.5" customHeight="1" x14ac:dyDescent="0.3">
      <c r="A576" s="6" t="s">
        <v>63</v>
      </c>
      <c r="B576" s="41" t="s">
        <v>65</v>
      </c>
      <c r="C576" s="24" t="s">
        <v>59</v>
      </c>
      <c r="D576" s="31">
        <v>46050</v>
      </c>
      <c r="E576" s="50">
        <v>0.70833333333333337</v>
      </c>
    </row>
    <row r="577" spans="1:5" ht="13.5" customHeight="1" x14ac:dyDescent="0.3">
      <c r="A577" s="6" t="s">
        <v>36</v>
      </c>
      <c r="B577" s="40" t="s">
        <v>64</v>
      </c>
      <c r="C577" s="24"/>
      <c r="D577" s="31">
        <v>46051</v>
      </c>
      <c r="E577" s="35">
        <v>0.41666666666666669</v>
      </c>
    </row>
    <row r="578" spans="1:5" ht="13.5" customHeight="1" x14ac:dyDescent="0.3">
      <c r="A578" s="6" t="s">
        <v>36</v>
      </c>
      <c r="B578" s="39" t="s">
        <v>60</v>
      </c>
      <c r="C578" s="24"/>
      <c r="D578" s="31">
        <v>46051</v>
      </c>
      <c r="E578" s="35">
        <v>0.45833333333333331</v>
      </c>
    </row>
    <row r="579" spans="1:5" ht="13.5" customHeight="1" x14ac:dyDescent="0.3">
      <c r="A579" s="6" t="s">
        <v>41</v>
      </c>
      <c r="B579" s="39" t="s">
        <v>60</v>
      </c>
      <c r="C579" s="24"/>
      <c r="D579" s="31">
        <v>46052</v>
      </c>
      <c r="E579" s="35">
        <v>0.4375</v>
      </c>
    </row>
    <row r="580" spans="1:5" ht="13.5" customHeight="1" x14ac:dyDescent="0.3">
      <c r="A580" s="6" t="s">
        <v>41</v>
      </c>
      <c r="B580" s="39" t="s">
        <v>60</v>
      </c>
      <c r="C580" s="24"/>
      <c r="D580" s="31">
        <v>46052</v>
      </c>
      <c r="E580" s="35">
        <v>0.47916666666666669</v>
      </c>
    </row>
    <row r="581" spans="1:5" ht="13.5" customHeight="1" x14ac:dyDescent="0.3">
      <c r="A581" s="6" t="s">
        <v>32</v>
      </c>
      <c r="B581" s="38" t="s">
        <v>62</v>
      </c>
      <c r="C581" s="24"/>
      <c r="D581" s="31">
        <v>46055</v>
      </c>
      <c r="E581" s="35">
        <v>0.45833333333333331</v>
      </c>
    </row>
    <row r="582" spans="1:5" ht="13.5" customHeight="1" x14ac:dyDescent="0.3">
      <c r="A582" s="6" t="s">
        <v>32</v>
      </c>
      <c r="B582" s="38" t="s">
        <v>62</v>
      </c>
      <c r="C582" s="24"/>
      <c r="D582" s="31">
        <v>46055</v>
      </c>
      <c r="E582" s="35">
        <v>0.5</v>
      </c>
    </row>
    <row r="583" spans="1:5" ht="13.5" customHeight="1" x14ac:dyDescent="0.3">
      <c r="A583" s="6" t="s">
        <v>51</v>
      </c>
      <c r="B583" s="43" t="s">
        <v>61</v>
      </c>
      <c r="C583" s="24"/>
      <c r="D583" s="31">
        <v>46056</v>
      </c>
      <c r="E583" s="35">
        <v>0.41666666666666669</v>
      </c>
    </row>
    <row r="584" spans="1:5" ht="13.5" customHeight="1" x14ac:dyDescent="0.3">
      <c r="A584" s="6" t="s">
        <v>51</v>
      </c>
      <c r="B584" s="43" t="s">
        <v>61</v>
      </c>
      <c r="C584" s="24"/>
      <c r="D584" s="31">
        <v>46056</v>
      </c>
      <c r="E584" s="35">
        <v>0.45833333333333331</v>
      </c>
    </row>
    <row r="585" spans="1:5" ht="13.5" customHeight="1" x14ac:dyDescent="0.3">
      <c r="A585" s="6" t="s">
        <v>39</v>
      </c>
      <c r="B585" s="40" t="s">
        <v>64</v>
      </c>
      <c r="C585" s="24" t="s">
        <v>73</v>
      </c>
      <c r="D585" s="31">
        <v>46056</v>
      </c>
      <c r="E585" s="35">
        <v>0.41666666666666669</v>
      </c>
    </row>
    <row r="586" spans="1:5" ht="13.5" customHeight="1" x14ac:dyDescent="0.3">
      <c r="A586" s="6" t="s">
        <v>39</v>
      </c>
      <c r="B586" s="39" t="s">
        <v>60</v>
      </c>
      <c r="C586" s="24" t="s">
        <v>73</v>
      </c>
      <c r="D586" s="31">
        <v>46056</v>
      </c>
      <c r="E586" s="35">
        <v>0.45833333333333331</v>
      </c>
    </row>
    <row r="587" spans="1:5" ht="13.5" customHeight="1" x14ac:dyDescent="0.3">
      <c r="A587" s="6" t="s">
        <v>38</v>
      </c>
      <c r="B587" s="43" t="s">
        <v>61</v>
      </c>
      <c r="C587" s="6"/>
      <c r="D587" s="31">
        <v>46057</v>
      </c>
      <c r="E587" s="35">
        <v>0.45833333333333331</v>
      </c>
    </row>
    <row r="588" spans="1:5" ht="13.5" customHeight="1" x14ac:dyDescent="0.3">
      <c r="A588" s="6" t="s">
        <v>38</v>
      </c>
      <c r="B588" s="43" t="s">
        <v>61</v>
      </c>
      <c r="C588" s="6"/>
      <c r="D588" s="31">
        <v>46057</v>
      </c>
      <c r="E588" s="35">
        <v>0.5</v>
      </c>
    </row>
    <row r="589" spans="1:5" ht="13.5" customHeight="1" x14ac:dyDescent="0.3">
      <c r="A589" s="6" t="s">
        <v>36</v>
      </c>
      <c r="B589" s="40" t="s">
        <v>64</v>
      </c>
      <c r="C589" s="6"/>
      <c r="D589" s="31">
        <v>46058</v>
      </c>
      <c r="E589" s="35">
        <v>0.41666666666666669</v>
      </c>
    </row>
    <row r="590" spans="1:5" ht="13.5" customHeight="1" x14ac:dyDescent="0.3">
      <c r="A590" s="6" t="s">
        <v>36</v>
      </c>
      <c r="B590" s="39" t="s">
        <v>60</v>
      </c>
      <c r="C590" s="6"/>
      <c r="D590" s="31">
        <v>46058</v>
      </c>
      <c r="E590" s="35">
        <v>0.45833333333333331</v>
      </c>
    </row>
    <row r="591" spans="1:5" ht="13.5" customHeight="1" x14ac:dyDescent="0.3">
      <c r="A591" s="6" t="s">
        <v>50</v>
      </c>
      <c r="B591" s="43" t="s">
        <v>61</v>
      </c>
      <c r="C591" s="6"/>
      <c r="D591" s="31">
        <v>46058</v>
      </c>
      <c r="E591" s="35">
        <v>0.45833333333333331</v>
      </c>
    </row>
    <row r="592" spans="1:5" ht="13.5" customHeight="1" x14ac:dyDescent="0.3">
      <c r="A592" s="6" t="s">
        <v>50</v>
      </c>
      <c r="B592" s="43" t="s">
        <v>61</v>
      </c>
      <c r="C592" s="6"/>
      <c r="D592" s="31">
        <v>46058</v>
      </c>
      <c r="E592" s="35">
        <v>0.5</v>
      </c>
    </row>
    <row r="593" spans="1:6" ht="13.5" customHeight="1" x14ac:dyDescent="0.3">
      <c r="A593" s="6" t="s">
        <v>42</v>
      </c>
      <c r="B593" s="39" t="s">
        <v>60</v>
      </c>
      <c r="C593" s="24" t="s">
        <v>73</v>
      </c>
      <c r="D593" s="31">
        <v>46059</v>
      </c>
      <c r="E593" s="35">
        <v>0.41666666666666669</v>
      </c>
    </row>
    <row r="594" spans="1:6" ht="13.5" customHeight="1" x14ac:dyDescent="0.3">
      <c r="A594" s="6" t="s">
        <v>42</v>
      </c>
      <c r="B594" s="39" t="s">
        <v>60</v>
      </c>
      <c r="C594" s="24" t="s">
        <v>73</v>
      </c>
      <c r="D594" s="31">
        <v>46059</v>
      </c>
      <c r="E594" s="35">
        <v>0.45833333333333331</v>
      </c>
    </row>
    <row r="595" spans="1:6" ht="13.5" customHeight="1" x14ac:dyDescent="0.3">
      <c r="A595" s="6" t="s">
        <v>34</v>
      </c>
      <c r="B595" s="39" t="s">
        <v>60</v>
      </c>
      <c r="C595" s="24" t="s">
        <v>59</v>
      </c>
      <c r="D595" s="48">
        <v>46059</v>
      </c>
      <c r="E595" s="35">
        <v>0.54166666666666663</v>
      </c>
    </row>
    <row r="596" spans="1:6" ht="13.5" customHeight="1" x14ac:dyDescent="0.3">
      <c r="A596" s="6" t="s">
        <v>34</v>
      </c>
      <c r="B596" s="39" t="s">
        <v>60</v>
      </c>
      <c r="C596" s="24" t="s">
        <v>59</v>
      </c>
      <c r="D596" s="48">
        <v>46059</v>
      </c>
      <c r="E596" s="35">
        <v>0.58333333333333337</v>
      </c>
    </row>
    <row r="597" spans="1:6" ht="13.5" customHeight="1" x14ac:dyDescent="0.3">
      <c r="A597" s="6" t="s">
        <v>51</v>
      </c>
      <c r="B597" s="43" t="s">
        <v>61</v>
      </c>
      <c r="C597" s="6"/>
      <c r="D597" s="31">
        <v>46063</v>
      </c>
      <c r="E597" s="35">
        <v>0.41666666666666669</v>
      </c>
    </row>
    <row r="598" spans="1:6" ht="13.5" customHeight="1" x14ac:dyDescent="0.3">
      <c r="A598" s="6" t="s">
        <v>51</v>
      </c>
      <c r="B598" s="43" t="s">
        <v>61</v>
      </c>
      <c r="C598" s="6"/>
      <c r="D598" s="31">
        <v>46063</v>
      </c>
      <c r="E598" s="35">
        <v>0.45833333333333331</v>
      </c>
    </row>
    <row r="599" spans="1:6" ht="13.5" customHeight="1" x14ac:dyDescent="0.3">
      <c r="A599" s="6" t="s">
        <v>38</v>
      </c>
      <c r="B599" s="43" t="s">
        <v>61</v>
      </c>
      <c r="C599" s="6"/>
      <c r="D599" s="34">
        <v>46064</v>
      </c>
      <c r="E599" s="35">
        <v>0.45833333333333331</v>
      </c>
    </row>
    <row r="600" spans="1:6" ht="13.5" customHeight="1" x14ac:dyDescent="0.3">
      <c r="A600" s="6" t="s">
        <v>38</v>
      </c>
      <c r="B600" s="43" t="s">
        <v>61</v>
      </c>
      <c r="C600" s="6"/>
      <c r="D600" s="34">
        <v>46064</v>
      </c>
      <c r="E600" s="35">
        <v>0.5</v>
      </c>
    </row>
    <row r="601" spans="1:6" ht="13.5" customHeight="1" x14ac:dyDescent="0.3">
      <c r="A601" s="6" t="s">
        <v>63</v>
      </c>
      <c r="B601" s="41" t="s">
        <v>65</v>
      </c>
      <c r="C601" s="24" t="s">
        <v>58</v>
      </c>
      <c r="D601" s="34">
        <v>46064</v>
      </c>
      <c r="E601" s="50">
        <v>0.66666666666666663</v>
      </c>
      <c r="F601"/>
    </row>
    <row r="602" spans="1:6" ht="13.5" customHeight="1" x14ac:dyDescent="0.3">
      <c r="A602" s="6" t="s">
        <v>63</v>
      </c>
      <c r="B602" s="41" t="s">
        <v>65</v>
      </c>
      <c r="C602" s="24" t="s">
        <v>58</v>
      </c>
      <c r="D602" s="34">
        <v>46064</v>
      </c>
      <c r="E602" s="50">
        <v>0.70833333333333337</v>
      </c>
      <c r="F602"/>
    </row>
    <row r="603" spans="1:6" ht="13.5" customHeight="1" x14ac:dyDescent="0.3">
      <c r="A603"/>
      <c r="B603"/>
      <c r="C603"/>
      <c r="D603"/>
      <c r="E603"/>
      <c r="F603"/>
    </row>
    <row r="604" spans="1:6" ht="13.5" customHeight="1" x14ac:dyDescent="0.3">
      <c r="A604"/>
      <c r="B604"/>
      <c r="C604"/>
      <c r="D604"/>
      <c r="E604"/>
      <c r="F604"/>
    </row>
    <row r="605" spans="1:6" ht="13.5" customHeight="1" x14ac:dyDescent="0.3">
      <c r="A605"/>
      <c r="B605"/>
      <c r="C605"/>
      <c r="D605"/>
      <c r="E605"/>
      <c r="F605"/>
    </row>
    <row r="606" spans="1:6" ht="13.5" customHeight="1" x14ac:dyDescent="0.3">
      <c r="A606"/>
      <c r="B606"/>
      <c r="C606"/>
      <c r="D606"/>
      <c r="E606"/>
      <c r="F606"/>
    </row>
    <row r="607" spans="1:6" ht="13.5" customHeight="1" x14ac:dyDescent="0.3">
      <c r="A607"/>
      <c r="B607"/>
      <c r="C607"/>
      <c r="D607"/>
      <c r="E607"/>
      <c r="F607"/>
    </row>
    <row r="608" spans="1:6" ht="13.5" customHeight="1" x14ac:dyDescent="0.3">
      <c r="A608"/>
      <c r="B608"/>
      <c r="C608"/>
      <c r="D608"/>
      <c r="E608"/>
      <c r="F608"/>
    </row>
    <row r="609" spans="1:6" ht="13.5" customHeight="1" x14ac:dyDescent="0.3">
      <c r="A609"/>
      <c r="B609"/>
      <c r="C609"/>
      <c r="D609"/>
      <c r="E609"/>
      <c r="F609"/>
    </row>
    <row r="610" spans="1:6" ht="13.5" customHeight="1" x14ac:dyDescent="0.3">
      <c r="A610"/>
      <c r="B610"/>
      <c r="C610"/>
      <c r="D610"/>
      <c r="E610"/>
      <c r="F610"/>
    </row>
    <row r="611" spans="1:6" ht="13.5" customHeight="1" x14ac:dyDescent="0.3">
      <c r="A611"/>
      <c r="B611"/>
      <c r="C611"/>
      <c r="D611"/>
      <c r="E611"/>
      <c r="F611"/>
    </row>
    <row r="612" spans="1:6" ht="13.5" customHeight="1" x14ac:dyDescent="0.3">
      <c r="A612"/>
      <c r="B612"/>
      <c r="C612"/>
      <c r="D612"/>
      <c r="E612"/>
      <c r="F612"/>
    </row>
    <row r="613" spans="1:6" ht="13.5" customHeight="1" x14ac:dyDescent="0.3">
      <c r="A613"/>
      <c r="B613"/>
      <c r="C613"/>
      <c r="D613"/>
      <c r="E613"/>
      <c r="F613"/>
    </row>
    <row r="614" spans="1:6" ht="13.5" customHeight="1" x14ac:dyDescent="0.3">
      <c r="A614"/>
      <c r="B614"/>
      <c r="C614"/>
      <c r="D614"/>
      <c r="E614"/>
      <c r="F614"/>
    </row>
    <row r="615" spans="1:6" ht="13.5" customHeight="1" x14ac:dyDescent="0.3">
      <c r="A615"/>
      <c r="B615"/>
      <c r="C615"/>
      <c r="D615"/>
      <c r="E615"/>
      <c r="F615"/>
    </row>
    <row r="616" spans="1:6" ht="13.5" customHeight="1" x14ac:dyDescent="0.3">
      <c r="A616"/>
      <c r="B616"/>
      <c r="C616"/>
      <c r="D616"/>
      <c r="E616"/>
      <c r="F616"/>
    </row>
    <row r="617" spans="1:6" ht="13.5" customHeight="1" x14ac:dyDescent="0.3">
      <c r="A617"/>
      <c r="B617"/>
      <c r="C617"/>
      <c r="D617"/>
      <c r="E617"/>
      <c r="F617"/>
    </row>
    <row r="618" spans="1:6" ht="13.5" customHeight="1" x14ac:dyDescent="0.3">
      <c r="A618"/>
      <c r="B618"/>
      <c r="C618"/>
      <c r="D618"/>
      <c r="E618"/>
      <c r="F618"/>
    </row>
    <row r="619" spans="1:6" ht="13.5" customHeight="1" x14ac:dyDescent="0.3">
      <c r="A619"/>
      <c r="B619"/>
      <c r="C619"/>
      <c r="D619"/>
      <c r="E619"/>
      <c r="F619"/>
    </row>
    <row r="620" spans="1:6" ht="13.5" customHeight="1" x14ac:dyDescent="0.3">
      <c r="A620"/>
      <c r="B620"/>
      <c r="C620"/>
      <c r="D620"/>
      <c r="E620"/>
      <c r="F620"/>
    </row>
    <row r="621" spans="1:6" ht="13.5" customHeight="1" x14ac:dyDescent="0.3">
      <c r="A621"/>
      <c r="B621"/>
      <c r="C621"/>
      <c r="D621"/>
      <c r="E621"/>
      <c r="F621"/>
    </row>
    <row r="622" spans="1:6" ht="13.5" customHeight="1" x14ac:dyDescent="0.3">
      <c r="A622"/>
      <c r="B622"/>
      <c r="C622"/>
      <c r="D622"/>
      <c r="E622"/>
      <c r="F622"/>
    </row>
    <row r="623" spans="1:6" ht="13.5" customHeight="1" x14ac:dyDescent="0.3">
      <c r="A623"/>
      <c r="B623"/>
      <c r="C623"/>
      <c r="D623"/>
      <c r="E623"/>
      <c r="F623"/>
    </row>
    <row r="624" spans="1:6" ht="13.5" customHeight="1" x14ac:dyDescent="0.3">
      <c r="A624"/>
      <c r="B624"/>
      <c r="C624"/>
      <c r="D624"/>
      <c r="E624"/>
      <c r="F624"/>
    </row>
    <row r="625" spans="1:6" ht="13.5" customHeight="1" x14ac:dyDescent="0.3">
      <c r="A625"/>
      <c r="B625"/>
      <c r="C625"/>
      <c r="D625"/>
      <c r="E625"/>
      <c r="F625"/>
    </row>
    <row r="626" spans="1:6" ht="13.5" customHeight="1" x14ac:dyDescent="0.3">
      <c r="A626"/>
      <c r="B626"/>
      <c r="C626"/>
      <c r="D626"/>
      <c r="E626"/>
      <c r="F626"/>
    </row>
    <row r="627" spans="1:6" ht="13.5" customHeight="1" x14ac:dyDescent="0.3">
      <c r="A627"/>
      <c r="B627"/>
      <c r="C627"/>
      <c r="D627"/>
      <c r="E627"/>
      <c r="F627"/>
    </row>
    <row r="628" spans="1:6" ht="13.5" customHeight="1" x14ac:dyDescent="0.3">
      <c r="A628"/>
      <c r="B628"/>
      <c r="C628"/>
      <c r="D628"/>
      <c r="E628"/>
      <c r="F628"/>
    </row>
    <row r="629" spans="1:6" ht="13.5" customHeight="1" x14ac:dyDescent="0.3">
      <c r="A629"/>
      <c r="B629"/>
      <c r="C629"/>
      <c r="D629"/>
      <c r="E629"/>
      <c r="F629"/>
    </row>
    <row r="630" spans="1:6" ht="13.5" customHeight="1" x14ac:dyDescent="0.3">
      <c r="A630"/>
      <c r="B630"/>
      <c r="C630"/>
      <c r="D630"/>
      <c r="E630"/>
      <c r="F630"/>
    </row>
    <row r="631" spans="1:6" ht="13.5" customHeight="1" x14ac:dyDescent="0.3">
      <c r="A631"/>
      <c r="B631"/>
      <c r="C631"/>
      <c r="D631"/>
      <c r="E631"/>
      <c r="F631"/>
    </row>
    <row r="632" spans="1:6" ht="13.5" customHeight="1" x14ac:dyDescent="0.3">
      <c r="A632"/>
      <c r="B632"/>
      <c r="C632"/>
      <c r="D632"/>
      <c r="E632"/>
      <c r="F632"/>
    </row>
    <row r="633" spans="1:6" ht="13.5" customHeight="1" x14ac:dyDescent="0.3">
      <c r="A633"/>
      <c r="B633"/>
      <c r="C633"/>
      <c r="D633"/>
      <c r="E633"/>
      <c r="F633"/>
    </row>
    <row r="634" spans="1:6" ht="13.5" customHeight="1" x14ac:dyDescent="0.3">
      <c r="A634"/>
      <c r="B634"/>
      <c r="C634"/>
      <c r="D634"/>
      <c r="E634"/>
      <c r="F634"/>
    </row>
    <row r="635" spans="1:6" ht="13.5" customHeight="1" x14ac:dyDescent="0.3">
      <c r="A635"/>
      <c r="B635"/>
      <c r="C635"/>
      <c r="D635"/>
      <c r="E635"/>
      <c r="F635"/>
    </row>
    <row r="636" spans="1:6" ht="13.5" customHeight="1" x14ac:dyDescent="0.3">
      <c r="A636"/>
      <c r="B636"/>
      <c r="C636"/>
      <c r="D636"/>
      <c r="E636"/>
      <c r="F636"/>
    </row>
    <row r="637" spans="1:6" ht="13.5" customHeight="1" x14ac:dyDescent="0.3">
      <c r="A637"/>
      <c r="B637"/>
      <c r="C637"/>
      <c r="D637"/>
      <c r="E637"/>
      <c r="F637"/>
    </row>
    <row r="638" spans="1:6" ht="13.5" customHeight="1" x14ac:dyDescent="0.3">
      <c r="A638"/>
      <c r="B638"/>
      <c r="C638"/>
      <c r="D638"/>
      <c r="E638"/>
      <c r="F638"/>
    </row>
    <row r="639" spans="1:6" ht="13.5" customHeight="1" x14ac:dyDescent="0.3">
      <c r="A639"/>
      <c r="B639"/>
      <c r="C639"/>
      <c r="D639"/>
      <c r="E639"/>
      <c r="F639"/>
    </row>
    <row r="640" spans="1:6" ht="13.5" customHeight="1" x14ac:dyDescent="0.3">
      <c r="A640"/>
      <c r="B640"/>
      <c r="C640"/>
      <c r="D640"/>
      <c r="E640"/>
      <c r="F640"/>
    </row>
    <row r="641" spans="1:6" ht="13.5" customHeight="1" x14ac:dyDescent="0.3">
      <c r="A641"/>
      <c r="B641"/>
      <c r="C641"/>
      <c r="D641"/>
      <c r="E641"/>
      <c r="F641"/>
    </row>
    <row r="642" spans="1:6" ht="13.5" customHeight="1" x14ac:dyDescent="0.3">
      <c r="A642"/>
      <c r="B642"/>
      <c r="C642"/>
      <c r="D642"/>
      <c r="E642"/>
      <c r="F642"/>
    </row>
    <row r="643" spans="1:6" ht="13.5" customHeight="1" x14ac:dyDescent="0.3">
      <c r="A643"/>
      <c r="B643"/>
      <c r="C643"/>
      <c r="D643"/>
      <c r="E643"/>
      <c r="F643"/>
    </row>
    <row r="644" spans="1:6" x14ac:dyDescent="0.3">
      <c r="A644"/>
      <c r="B644"/>
      <c r="C644"/>
      <c r="D644"/>
      <c r="E644"/>
      <c r="F644"/>
    </row>
    <row r="645" spans="1:6" x14ac:dyDescent="0.3">
      <c r="A645"/>
      <c r="B645"/>
      <c r="C645"/>
      <c r="D645"/>
      <c r="E645"/>
      <c r="F645"/>
    </row>
    <row r="646" spans="1:6" x14ac:dyDescent="0.3">
      <c r="A646"/>
      <c r="B646"/>
      <c r="C646"/>
      <c r="D646"/>
      <c r="E646"/>
      <c r="F646"/>
    </row>
    <row r="647" spans="1:6" x14ac:dyDescent="0.3">
      <c r="A647"/>
      <c r="B647"/>
      <c r="C647"/>
      <c r="D647"/>
      <c r="E647"/>
      <c r="F647"/>
    </row>
    <row r="648" spans="1:6" x14ac:dyDescent="0.3">
      <c r="A648"/>
      <c r="B648"/>
      <c r="C648"/>
      <c r="D648"/>
      <c r="E648"/>
      <c r="F648"/>
    </row>
    <row r="649" spans="1:6" x14ac:dyDescent="0.3">
      <c r="A649"/>
      <c r="B649"/>
      <c r="C649"/>
      <c r="D649"/>
      <c r="E649"/>
      <c r="F649"/>
    </row>
    <row r="650" spans="1:6" x14ac:dyDescent="0.3">
      <c r="A650"/>
      <c r="B650"/>
      <c r="C650"/>
      <c r="D650"/>
      <c r="E650"/>
      <c r="F650"/>
    </row>
    <row r="651" spans="1:6" x14ac:dyDescent="0.3">
      <c r="A651"/>
      <c r="B651"/>
      <c r="C651"/>
      <c r="D651"/>
      <c r="E651"/>
      <c r="F651"/>
    </row>
    <row r="652" spans="1:6" x14ac:dyDescent="0.3">
      <c r="A652"/>
      <c r="B652"/>
      <c r="C652"/>
      <c r="D652"/>
      <c r="E652"/>
      <c r="F652"/>
    </row>
    <row r="653" spans="1:6" x14ac:dyDescent="0.3">
      <c r="A653"/>
      <c r="B653"/>
      <c r="C653"/>
      <c r="D653"/>
      <c r="E653"/>
      <c r="F653"/>
    </row>
    <row r="654" spans="1:6" x14ac:dyDescent="0.3">
      <c r="A654"/>
      <c r="B654"/>
      <c r="C654"/>
      <c r="D654"/>
      <c r="E654"/>
      <c r="F654"/>
    </row>
    <row r="655" spans="1:6" x14ac:dyDescent="0.3">
      <c r="A655"/>
      <c r="B655"/>
      <c r="C655"/>
      <c r="D655"/>
      <c r="E655"/>
      <c r="F655"/>
    </row>
    <row r="656" spans="1:6" x14ac:dyDescent="0.3">
      <c r="A656"/>
      <c r="B656"/>
      <c r="C656"/>
      <c r="D656"/>
      <c r="E656"/>
      <c r="F656"/>
    </row>
    <row r="657" spans="1:6" x14ac:dyDescent="0.3">
      <c r="A657"/>
      <c r="B657"/>
      <c r="C657"/>
      <c r="D657"/>
      <c r="E657"/>
      <c r="F657"/>
    </row>
    <row r="658" spans="1:6" x14ac:dyDescent="0.3">
      <c r="A658"/>
      <c r="B658"/>
      <c r="C658"/>
      <c r="D658"/>
      <c r="E658"/>
      <c r="F658"/>
    </row>
    <row r="659" spans="1:6" x14ac:dyDescent="0.3">
      <c r="A659"/>
      <c r="B659"/>
      <c r="C659"/>
      <c r="D659"/>
      <c r="E659"/>
      <c r="F659"/>
    </row>
  </sheetData>
  <autoFilter ref="A2:E649" xr:uid="{00000000-0009-0000-0000-000004000000}"/>
  <phoneticPr fontId="2" type="noConversion"/>
  <conditionalFormatting sqref="E651:E1048576 E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03:E607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16:E61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18:E621 E608:E615 E641:E643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2:E62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0:E640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51:E1048576 E2 E603:E64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04:E60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6:E62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47:E64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47:E64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44:E64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44:E64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49:E65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49:E6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ignoredErrors>
    <ignoredError sqref="N32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2025-상반기</vt:lpstr>
      <vt:lpstr>2025-하반기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2025-06-26T05:19:49Z</cp:lastPrinted>
  <dcterms:created xsi:type="dcterms:W3CDTF">2022-07-22T04:26:50Z</dcterms:created>
  <dcterms:modified xsi:type="dcterms:W3CDTF">2025-12-18T07:36:53Z</dcterms:modified>
</cp:coreProperties>
</file>